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안산대학교\2026-1학기 강의\4학년-인공지능\강의자료\6주\"/>
    </mc:Choice>
  </mc:AlternateContent>
  <xr:revisionPtr revIDLastSave="0" documentId="13_ncr:1_{31FA334E-B929-4A76-BA66-77F10ECB6BB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diabetes" sheetId="1" r:id="rId1"/>
    <sheet name="실습_가이드" sheetId="2" r:id="rId2"/>
    <sheet name="임계값_실험결과" sheetId="3" r:id="rId3"/>
    <sheet name="3모델_성능비교" sheetId="4" r:id="rId4"/>
    <sheet name="오즈비_참고표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0" i="5" l="1"/>
  <c r="C9" i="5"/>
  <c r="C8" i="5"/>
  <c r="C7" i="5"/>
  <c r="C6" i="5"/>
  <c r="C5" i="5"/>
  <c r="C4" i="5"/>
  <c r="E7" i="4"/>
  <c r="E6" i="4"/>
  <c r="E5" i="4"/>
  <c r="E4" i="4"/>
</calcChain>
</file>

<file path=xl/sharedStrings.xml><?xml version="1.0" encoding="utf-8"?>
<sst xmlns="http://schemas.openxmlformats.org/spreadsheetml/2006/main" count="314" uniqueCount="108">
  <si>
    <r>
      <rPr>
        <b/>
        <sz val="14"/>
        <color rgb="FFFFFFFF"/>
        <rFont val="맑은 고딕"/>
        <family val="3"/>
        <charset val="129"/>
      </rPr>
      <t>6</t>
    </r>
    <r>
      <rPr>
        <b/>
        <sz val="14"/>
        <color rgb="FFFFFFFF"/>
        <rFont val="Noto Sans CJK SC"/>
        <family val="2"/>
      </rPr>
      <t xml:space="preserve">주차 실습 데이터 — 당뇨병 위험 예측 </t>
    </r>
    <r>
      <rPr>
        <b/>
        <sz val="14"/>
        <color rgb="FFFFFFFF"/>
        <rFont val="맑은 고딕"/>
        <family val="3"/>
        <charset val="129"/>
      </rPr>
      <t>(</t>
    </r>
    <r>
      <rPr>
        <b/>
        <sz val="14"/>
        <color rgb="FFFFFFFF"/>
        <rFont val="Noto Sans CJK SC"/>
        <family val="2"/>
      </rPr>
      <t xml:space="preserve">환자 </t>
    </r>
    <r>
      <rPr>
        <b/>
        <sz val="14"/>
        <color rgb="FFFFFFFF"/>
        <rFont val="맑은 고딕"/>
        <family val="3"/>
        <charset val="129"/>
      </rPr>
      <t>200</t>
    </r>
    <r>
      <rPr>
        <b/>
        <sz val="14"/>
        <color rgb="FFFFFFFF"/>
        <rFont val="Noto Sans CJK SC"/>
        <family val="2"/>
      </rPr>
      <t>명</t>
    </r>
    <r>
      <rPr>
        <b/>
        <sz val="14"/>
        <color rgb="FFFFFFFF"/>
        <rFont val="맑은 고딕"/>
        <family val="3"/>
        <charset val="129"/>
      </rPr>
      <t>)</t>
    </r>
  </si>
  <si>
    <r>
      <rPr>
        <i/>
        <sz val="10"/>
        <color rgb="FF888888"/>
        <rFont val="Noto Sans CJK SC"/>
        <family val="2"/>
      </rPr>
      <t>※ 결측값</t>
    </r>
    <r>
      <rPr>
        <i/>
        <sz val="10"/>
        <color rgb="FF888888"/>
        <rFont val="맑은 고딕"/>
        <family val="3"/>
        <charset val="129"/>
      </rPr>
      <t xml:space="preserve">(NaN) </t>
    </r>
    <r>
      <rPr>
        <i/>
        <sz val="10"/>
        <color rgb="FF888888"/>
        <rFont val="Noto Sans CJK SC"/>
        <family val="2"/>
      </rPr>
      <t xml:space="preserve">포함 — 전처리 실습용 </t>
    </r>
    <r>
      <rPr>
        <i/>
        <sz val="10"/>
        <color rgb="FF888888"/>
        <rFont val="맑은 고딕"/>
        <family val="3"/>
        <charset val="129"/>
      </rPr>
      <t xml:space="preserve">| </t>
    </r>
    <r>
      <rPr>
        <i/>
        <sz val="10"/>
        <color rgb="FF888888"/>
        <rFont val="Noto Sans CJK SC"/>
        <family val="2"/>
      </rPr>
      <t>출처</t>
    </r>
    <r>
      <rPr>
        <i/>
        <sz val="10"/>
        <color rgb="FF888888"/>
        <rFont val="맑은 고딕"/>
        <family val="3"/>
        <charset val="129"/>
      </rPr>
      <t xml:space="preserve">: Pima Indians Diabetes Dataset </t>
    </r>
    <r>
      <rPr>
        <i/>
        <sz val="10"/>
        <color rgb="FF888888"/>
        <rFont val="Noto Sans CJK SC"/>
        <family val="2"/>
      </rPr>
      <t>기반 수정</t>
    </r>
  </si>
  <si>
    <t>나이</t>
  </si>
  <si>
    <t>BMI</t>
  </si>
  <si>
    <t>혈당수치</t>
  </si>
  <si>
    <t>혈압</t>
  </si>
  <si>
    <t>운동빈도</t>
  </si>
  <si>
    <t>가족력</t>
  </si>
  <si>
    <t>인슐린</t>
  </si>
  <si>
    <t>당뇨위험</t>
  </si>
  <si>
    <t>세</t>
  </si>
  <si>
    <r>
      <rPr>
        <i/>
        <sz val="9"/>
        <color rgb="FF2A6FA8"/>
        <rFont val="맑은 고딕"/>
        <family val="3"/>
        <charset val="129"/>
      </rPr>
      <t>kg/m²
(</t>
    </r>
    <r>
      <rPr>
        <i/>
        <sz val="9"/>
        <color rgb="FF2A6FA8"/>
        <rFont val="Noto Sans CJK SC"/>
        <family val="2"/>
      </rPr>
      <t>결측 포함</t>
    </r>
    <r>
      <rPr>
        <i/>
        <sz val="9"/>
        <color rgb="FF2A6FA8"/>
        <rFont val="맑은 고딕"/>
        <family val="3"/>
        <charset val="129"/>
      </rPr>
      <t>)</t>
    </r>
  </si>
  <si>
    <t>mg/dL</t>
  </si>
  <si>
    <t>mmHg</t>
  </si>
  <si>
    <r>
      <rPr>
        <i/>
        <sz val="9"/>
        <color rgb="FF2D7A60"/>
        <rFont val="Noto Sans CJK SC"/>
        <family val="2"/>
      </rPr>
      <t>회</t>
    </r>
    <r>
      <rPr>
        <i/>
        <sz val="9"/>
        <color rgb="FF2D7A60"/>
        <rFont val="맑은 고딕"/>
        <family val="3"/>
        <charset val="129"/>
      </rPr>
      <t>/</t>
    </r>
    <r>
      <rPr>
        <i/>
        <sz val="9"/>
        <color rgb="FF2D7A60"/>
        <rFont val="Noto Sans CJK SC"/>
        <family val="2"/>
      </rPr>
      <t xml:space="preserve">주
</t>
    </r>
    <r>
      <rPr>
        <i/>
        <sz val="9"/>
        <color rgb="FF2D7A60"/>
        <rFont val="맑은 고딕"/>
        <family val="3"/>
        <charset val="129"/>
      </rPr>
      <t>(</t>
    </r>
    <r>
      <rPr>
        <i/>
        <sz val="9"/>
        <color rgb="FF2D7A60"/>
        <rFont val="Noto Sans CJK SC"/>
        <family val="2"/>
      </rPr>
      <t>결측 포함</t>
    </r>
    <r>
      <rPr>
        <i/>
        <sz val="9"/>
        <color rgb="FF2D7A60"/>
        <rFont val="맑은 고딕"/>
        <family val="3"/>
        <charset val="129"/>
      </rPr>
      <t>)</t>
    </r>
  </si>
  <si>
    <r>
      <rPr>
        <i/>
        <sz val="9"/>
        <color rgb="FFB85A2A"/>
        <rFont val="Noto Sans CJK SC"/>
        <family val="2"/>
      </rPr>
      <t>있음</t>
    </r>
    <r>
      <rPr>
        <i/>
        <sz val="9"/>
        <color rgb="FFB85A2A"/>
        <rFont val="맑은 고딕"/>
        <family val="3"/>
        <charset val="129"/>
      </rPr>
      <t>/</t>
    </r>
    <r>
      <rPr>
        <i/>
        <sz val="9"/>
        <color rgb="FFB85A2A"/>
        <rFont val="Noto Sans CJK SC"/>
        <family val="2"/>
      </rPr>
      <t>없음</t>
    </r>
  </si>
  <si>
    <t>μU/mL</t>
  </si>
  <si>
    <r>
      <rPr>
        <i/>
        <sz val="9"/>
        <color rgb="FFD04020"/>
        <rFont val="맑은 고딕"/>
        <family val="3"/>
        <charset val="129"/>
      </rPr>
      <t>0=</t>
    </r>
    <r>
      <rPr>
        <i/>
        <sz val="9"/>
        <color rgb="FFD04020"/>
        <rFont val="Noto Sans CJK SC"/>
        <family val="2"/>
      </rPr>
      <t xml:space="preserve">저위험
</t>
    </r>
    <r>
      <rPr>
        <i/>
        <sz val="9"/>
        <color rgb="FFD04020"/>
        <rFont val="맑은 고딕"/>
        <family val="3"/>
        <charset val="129"/>
      </rPr>
      <t>1=</t>
    </r>
    <r>
      <rPr>
        <i/>
        <sz val="9"/>
        <color rgb="FFD04020"/>
        <rFont val="Noto Sans CJK SC"/>
        <family val="2"/>
      </rPr>
      <t>고위험</t>
    </r>
  </si>
  <si>
    <t>있음</t>
  </si>
  <si>
    <t>없음</t>
  </si>
  <si>
    <r>
      <rPr>
        <b/>
        <sz val="14"/>
        <color rgb="FFFFFFFF"/>
        <rFont val="맑은 고딕"/>
        <family val="3"/>
        <charset val="129"/>
      </rPr>
      <t>6</t>
    </r>
    <r>
      <rPr>
        <b/>
        <sz val="14"/>
        <color rgb="FFFFFFFF"/>
        <rFont val="Noto Sans CJK SC"/>
        <family val="2"/>
      </rPr>
      <t>주차 실습 가이드 — 로지스틱 회귀로 당뇨 위험 예측하기</t>
    </r>
  </si>
  <si>
    <r>
      <rPr>
        <i/>
        <sz val="10"/>
        <color rgb="FF888888"/>
        <rFont val="맑은 고딕"/>
        <family val="3"/>
        <charset val="129"/>
      </rPr>
      <t>Colab</t>
    </r>
    <r>
      <rPr>
        <i/>
        <sz val="10"/>
        <color rgb="FF888888"/>
        <rFont val="Noto Sans CJK SC"/>
        <family val="2"/>
      </rPr>
      <t xml:space="preserve">에서 </t>
    </r>
    <r>
      <rPr>
        <i/>
        <sz val="10"/>
        <color rgb="FF888888"/>
        <rFont val="맑은 고딕"/>
        <family val="3"/>
        <charset val="129"/>
      </rPr>
      <t>'</t>
    </r>
    <r>
      <rPr>
        <i/>
        <sz val="10"/>
        <color rgb="FF888888"/>
        <rFont val="Noto Sans CJK SC"/>
        <family val="2"/>
      </rPr>
      <t>당뇨</t>
    </r>
    <r>
      <rPr>
        <i/>
        <sz val="10"/>
        <color rgb="FF888888"/>
        <rFont val="맑은 고딕"/>
        <family val="3"/>
        <charset val="129"/>
      </rPr>
      <t>_</t>
    </r>
    <r>
      <rPr>
        <i/>
        <sz val="10"/>
        <color rgb="FF888888"/>
        <rFont val="Noto Sans CJK SC"/>
        <family val="2"/>
      </rPr>
      <t>데이터</t>
    </r>
    <r>
      <rPr>
        <i/>
        <sz val="10"/>
        <color rgb="FF888888"/>
        <rFont val="맑은 고딕"/>
        <family val="3"/>
        <charset val="129"/>
      </rPr>
      <t xml:space="preserve">' </t>
    </r>
    <r>
      <rPr>
        <i/>
        <sz val="10"/>
        <color rgb="FF888888"/>
        <rFont val="Noto Sans CJK SC"/>
        <family val="2"/>
      </rPr>
      <t xml:space="preserve">시트의 </t>
    </r>
    <r>
      <rPr>
        <i/>
        <sz val="10"/>
        <color rgb="FF888888"/>
        <rFont val="맑은 고딕"/>
        <family val="3"/>
        <charset val="129"/>
      </rPr>
      <t>CSV</t>
    </r>
    <r>
      <rPr>
        <i/>
        <sz val="10"/>
        <color rgb="FF888888"/>
        <rFont val="Noto Sans CJK SC"/>
        <family val="2"/>
      </rPr>
      <t>를 불러오거나</t>
    </r>
    <r>
      <rPr>
        <i/>
        <sz val="10"/>
        <color rgb="FF888888"/>
        <rFont val="맑은 고딕"/>
        <family val="3"/>
        <charset val="129"/>
      </rPr>
      <t xml:space="preserve">, </t>
    </r>
    <r>
      <rPr>
        <i/>
        <sz val="10"/>
        <color rgb="FF888888"/>
        <rFont val="Noto Sans CJK SC"/>
        <family val="2"/>
      </rPr>
      <t xml:space="preserve">아래 </t>
    </r>
    <r>
      <rPr>
        <i/>
        <sz val="10"/>
        <color rgb="FF888888"/>
        <rFont val="맑은 고딕"/>
        <family val="3"/>
        <charset val="129"/>
      </rPr>
      <t>URL</t>
    </r>
    <r>
      <rPr>
        <i/>
        <sz val="10"/>
        <color rgb="FF888888"/>
        <rFont val="Noto Sans CJK SC"/>
        <family val="2"/>
      </rPr>
      <t>을 사용하세요</t>
    </r>
  </si>
  <si>
    <t>STEP</t>
  </si>
  <si>
    <t>단계명</t>
  </si>
  <si>
    <t>핵심 내용</t>
  </si>
  <si>
    <t>확인 포인트</t>
  </si>
  <si>
    <t>0</t>
  </si>
  <si>
    <t>준비 — 라이브러리 설치</t>
  </si>
  <si>
    <r>
      <rPr>
        <sz val="10"/>
        <color rgb="FF1E3A2F"/>
        <rFont val="맑은 고딕"/>
        <family val="3"/>
        <charset val="129"/>
      </rPr>
      <t xml:space="preserve">import pandas, numpy, sklearn, matplotlib
StandardScaler import </t>
    </r>
    <r>
      <rPr>
        <sz val="10"/>
        <color rgb="FF1E3A2F"/>
        <rFont val="Noto Sans CJK SC"/>
        <family val="2"/>
      </rPr>
      <t xml:space="preserve">추가 </t>
    </r>
    <r>
      <rPr>
        <sz val="10"/>
        <color rgb="FF1E3A2F"/>
        <rFont val="맑은 고딕"/>
        <family val="3"/>
        <charset val="129"/>
      </rPr>
      <t>(5</t>
    </r>
    <r>
      <rPr>
        <sz val="10"/>
        <color rgb="FF1E3A2F"/>
        <rFont val="Noto Sans CJK SC"/>
        <family val="2"/>
      </rPr>
      <t>주차와 다른 점</t>
    </r>
    <r>
      <rPr>
        <sz val="10"/>
        <color rgb="FF1E3A2F"/>
        <rFont val="맑은 고딕"/>
        <family val="3"/>
        <charset val="129"/>
      </rPr>
      <t>!)</t>
    </r>
  </si>
  <si>
    <r>
      <rPr>
        <sz val="10"/>
        <color rgb="FF1E3A2F"/>
        <rFont val="Noto Sans CJK SC"/>
        <family val="2"/>
      </rPr>
      <t>✅ 준비 완료</t>
    </r>
    <r>
      <rPr>
        <sz val="10"/>
        <color rgb="FF1E3A2F"/>
        <rFont val="맑은 고딕"/>
        <family val="3"/>
        <charset val="129"/>
      </rPr>
      <t xml:space="preserve">! </t>
    </r>
    <r>
      <rPr>
        <sz val="10"/>
        <color rgb="FF1E3A2F"/>
        <rFont val="Noto Sans CJK SC"/>
        <family val="2"/>
      </rPr>
      <t>출력 확인</t>
    </r>
  </si>
  <si>
    <t>1</t>
  </si>
  <si>
    <t>데이터 불러오기</t>
  </si>
  <si>
    <r>
      <rPr>
        <sz val="10"/>
        <color rgb="FF1E3A2F"/>
        <rFont val="맑은 고딕"/>
        <family val="3"/>
        <charset val="129"/>
      </rPr>
      <t xml:space="preserve">pd.read_csv(url) </t>
    </r>
    <r>
      <rPr>
        <sz val="10"/>
        <color rgb="FF1E3A2F"/>
        <rFont val="Noto Sans CJK SC"/>
        <family val="2"/>
      </rPr>
      <t xml:space="preserve">로 당뇨 데이터 로드
</t>
    </r>
    <r>
      <rPr>
        <sz val="10"/>
        <color rgb="FF1E3A2F"/>
        <rFont val="맑은 고딕"/>
        <family val="3"/>
        <charset val="129"/>
      </rPr>
      <t xml:space="preserve">df.shape → (200, 7) </t>
    </r>
    <r>
      <rPr>
        <sz val="10"/>
        <color rgb="FF1E3A2F"/>
        <rFont val="Noto Sans CJK SC"/>
        <family val="2"/>
      </rPr>
      <t xml:space="preserve">확인
</t>
    </r>
    <r>
      <rPr>
        <sz val="10"/>
        <color rgb="FF1E3A2F"/>
        <rFont val="맑은 고딕"/>
        <family val="3"/>
        <charset val="129"/>
      </rPr>
      <t xml:space="preserve">df.isnull().sum() </t>
    </r>
    <r>
      <rPr>
        <sz val="10"/>
        <color rgb="FF1E3A2F"/>
        <rFont val="Noto Sans CJK SC"/>
        <family val="2"/>
      </rPr>
      <t>으로 결측값 확인</t>
    </r>
  </si>
  <si>
    <r>
      <rPr>
        <sz val="10"/>
        <color rgb="FF1E3A2F"/>
        <rFont val="맑은 고딕"/>
        <family val="3"/>
        <charset val="129"/>
      </rPr>
      <t xml:space="preserve">BMI, </t>
    </r>
    <r>
      <rPr>
        <sz val="10"/>
        <color rgb="FF1E3A2F"/>
        <rFont val="Noto Sans CJK SC"/>
        <family val="2"/>
      </rPr>
      <t>운동빈도에 결측값 있는지 확인</t>
    </r>
  </si>
  <si>
    <t>2</t>
  </si>
  <si>
    <r>
      <rPr>
        <sz val="11"/>
        <color rgb="FFFFFFFF"/>
        <rFont val="Noto Sans CJK SC"/>
        <family val="2"/>
      </rPr>
      <t>전처리 — 스케일링 주목</t>
    </r>
    <r>
      <rPr>
        <sz val="11"/>
        <color rgb="FFFFFFFF"/>
        <rFont val="맑은 고딕"/>
        <family val="3"/>
        <charset val="129"/>
      </rPr>
      <t>!</t>
    </r>
  </si>
  <si>
    <r>
      <rPr>
        <sz val="10"/>
        <color rgb="FF1E3A2F"/>
        <rFont val="Noto Sans CJK SC"/>
        <family val="2"/>
      </rPr>
      <t>① 결측값</t>
    </r>
    <r>
      <rPr>
        <sz val="10"/>
        <color rgb="FF1E3A2F"/>
        <rFont val="맑은 고딕"/>
        <family val="3"/>
        <charset val="129"/>
      </rPr>
      <t xml:space="preserve">: fillna(mean()) </t>
    </r>
    <r>
      <rPr>
        <sz val="10"/>
        <color rgb="FF1E3A2F"/>
        <rFont val="Noto Sans CJK SC"/>
        <family val="2"/>
      </rPr>
      <t>으로 평균 대체
② 인코딩</t>
    </r>
    <r>
      <rPr>
        <sz val="10"/>
        <color rgb="FF1E3A2F"/>
        <rFont val="맑은 고딕"/>
        <family val="3"/>
        <charset val="129"/>
      </rPr>
      <t xml:space="preserve">: </t>
    </r>
    <r>
      <rPr>
        <sz val="10"/>
        <color rgb="FF1E3A2F"/>
        <rFont val="Noto Sans CJK SC"/>
        <family val="2"/>
      </rPr>
      <t>가족력 있음→</t>
    </r>
    <r>
      <rPr>
        <sz val="10"/>
        <color rgb="FF1E3A2F"/>
        <rFont val="맑은 고딕"/>
        <family val="3"/>
        <charset val="129"/>
      </rPr>
      <t xml:space="preserve">1, </t>
    </r>
    <r>
      <rPr>
        <sz val="10"/>
        <color rgb="FF1E3A2F"/>
        <rFont val="Noto Sans CJK SC"/>
        <family val="2"/>
      </rPr>
      <t>없음→</t>
    </r>
    <r>
      <rPr>
        <sz val="10"/>
        <color rgb="FF1E3A2F"/>
        <rFont val="맑은 고딕"/>
        <family val="3"/>
        <charset val="129"/>
      </rPr>
      <t xml:space="preserve">0
③ Feature/Label </t>
    </r>
    <r>
      <rPr>
        <sz val="10"/>
        <color rgb="FF1E3A2F"/>
        <rFont val="Noto Sans CJK SC"/>
        <family val="2"/>
      </rPr>
      <t xml:space="preserve">분리 </t>
    </r>
    <r>
      <rPr>
        <sz val="10"/>
        <color rgb="FF1E3A2F"/>
        <rFont val="맑은 고딕"/>
        <family val="3"/>
        <charset val="129"/>
      </rPr>
      <t xml:space="preserve">(X, y)
④ train_test_split 80/20
⑤ ★ StandardScaler </t>
    </r>
    <r>
      <rPr>
        <sz val="10"/>
        <color rgb="FF1E3A2F"/>
        <rFont val="Noto Sans CJK SC"/>
        <family val="2"/>
      </rPr>
      <t xml:space="preserve">적용 </t>
    </r>
    <r>
      <rPr>
        <sz val="10"/>
        <color rgb="FF1E3A2F"/>
        <rFont val="맑은 고딕"/>
        <family val="3"/>
        <charset val="129"/>
      </rPr>
      <t>(</t>
    </r>
    <r>
      <rPr>
        <sz val="10"/>
        <color rgb="FF1E3A2F"/>
        <rFont val="Noto Sans CJK SC"/>
        <family val="2"/>
      </rPr>
      <t>로지스틱 회귀 필수</t>
    </r>
    <r>
      <rPr>
        <sz val="10"/>
        <color rgb="FF1E3A2F"/>
        <rFont val="맑은 고딕"/>
        <family val="3"/>
        <charset val="129"/>
      </rPr>
      <t>!)</t>
    </r>
  </si>
  <si>
    <r>
      <rPr>
        <sz val="10"/>
        <color rgb="FF1E3A2F"/>
        <rFont val="맑은 고딕"/>
        <family val="3"/>
        <charset val="129"/>
      </rPr>
      <t xml:space="preserve">scaler.fit_transform vs scaler.transform </t>
    </r>
    <r>
      <rPr>
        <sz val="10"/>
        <color rgb="FF1E3A2F"/>
        <rFont val="Noto Sans CJK SC"/>
        <family val="2"/>
      </rPr>
      <t>차이</t>
    </r>
    <r>
      <rPr>
        <sz val="10"/>
        <color rgb="FF1E3A2F"/>
        <rFont val="맑은 고딕"/>
        <family val="3"/>
        <charset val="129"/>
      </rPr>
      <t>!</t>
    </r>
  </si>
  <si>
    <t>3</t>
  </si>
  <si>
    <t>로지스틱 회귀 학습</t>
  </si>
  <si>
    <t>lr = LogisticRegression(max_iter=1000)
lr.fit(X_train_scaled, y_train)
y_pred = lr.predict(X_test_scaled)
print(accuracy_score, classification_report)</t>
  </si>
  <si>
    <r>
      <rPr>
        <sz val="10"/>
        <color rgb="FF1E3A2F"/>
        <rFont val="Noto Sans CJK SC"/>
        <family val="2"/>
      </rPr>
      <t xml:space="preserve">정확도가 몇 </t>
    </r>
    <r>
      <rPr>
        <sz val="10"/>
        <color rgb="FF1E3A2F"/>
        <rFont val="맑은 고딕"/>
        <family val="3"/>
        <charset val="129"/>
      </rPr>
      <t>%</t>
    </r>
    <r>
      <rPr>
        <sz val="10"/>
        <color rgb="FF1E3A2F"/>
        <rFont val="Noto Sans CJK SC"/>
        <family val="2"/>
      </rPr>
      <t>인지 기록해두세요</t>
    </r>
  </si>
  <si>
    <t>4</t>
  </si>
  <si>
    <r>
      <rPr>
        <sz val="11"/>
        <color rgb="FFFFFFFF"/>
        <rFont val="맑은 고딕"/>
        <family val="3"/>
        <charset val="129"/>
      </rPr>
      <t xml:space="preserve">★ predict_proba — </t>
    </r>
    <r>
      <rPr>
        <sz val="11"/>
        <color rgb="FFFFFFFF"/>
        <rFont val="Noto Sans CJK SC"/>
        <family val="2"/>
      </rPr>
      <t>핵심</t>
    </r>
    <r>
      <rPr>
        <sz val="11"/>
        <color rgb="FFFFFFFF"/>
        <rFont val="맑은 고딕"/>
        <family val="3"/>
        <charset val="129"/>
      </rPr>
      <t>!</t>
    </r>
  </si>
  <si>
    <r>
      <rPr>
        <sz val="10"/>
        <color rgb="FF1E3A2F"/>
        <rFont val="맑은 고딕"/>
        <family val="3"/>
        <charset val="129"/>
      </rPr>
      <t xml:space="preserve">y_proba = lr.predict_proba(X_test_scaled)
→ [[0.13, 0.87], [0.71, 0.29], ...]
</t>
    </r>
    <r>
      <rPr>
        <sz val="10"/>
        <color rgb="FF1E3A2F"/>
        <rFont val="Noto Sans CJK SC"/>
        <family val="2"/>
      </rPr>
      <t>앞</t>
    </r>
    <r>
      <rPr>
        <sz val="10"/>
        <color rgb="FF1E3A2F"/>
        <rFont val="맑은 고딕"/>
        <family val="3"/>
        <charset val="129"/>
      </rPr>
      <t xml:space="preserve">: </t>
    </r>
    <r>
      <rPr>
        <sz val="10"/>
        <color rgb="FF1E3A2F"/>
        <rFont val="Noto Sans CJK SC"/>
        <family val="2"/>
      </rPr>
      <t xml:space="preserve">정상 확률 </t>
    </r>
    <r>
      <rPr>
        <sz val="10"/>
        <color rgb="FF1E3A2F"/>
        <rFont val="맑은 고딕"/>
        <family val="3"/>
        <charset val="129"/>
      </rPr>
      <t xml:space="preserve">/ </t>
    </r>
    <r>
      <rPr>
        <sz val="10"/>
        <color rgb="FF1E3A2F"/>
        <rFont val="Noto Sans CJK SC"/>
        <family val="2"/>
      </rPr>
      <t>뒤</t>
    </r>
    <r>
      <rPr>
        <sz val="10"/>
        <color rgb="FF1E3A2F"/>
        <rFont val="맑은 고딕"/>
        <family val="3"/>
        <charset val="129"/>
      </rPr>
      <t xml:space="preserve">: </t>
    </r>
    <r>
      <rPr>
        <sz val="10"/>
        <color rgb="FF1E3A2F"/>
        <rFont val="Noto Sans CJK SC"/>
        <family val="2"/>
      </rPr>
      <t>당뇨 확률
히스토그램으로 시각화</t>
    </r>
  </si>
  <si>
    <r>
      <rPr>
        <sz val="10"/>
        <color rgb="FF1E3A2F"/>
        <rFont val="맑은 고딕"/>
        <family val="3"/>
        <charset val="129"/>
      </rPr>
      <t xml:space="preserve">0.87 = </t>
    </r>
    <r>
      <rPr>
        <sz val="10"/>
        <color rgb="FF1E3A2F"/>
        <rFont val="Noto Sans CJK SC"/>
        <family val="2"/>
      </rPr>
      <t xml:space="preserve">당뇨 확률 </t>
    </r>
    <r>
      <rPr>
        <sz val="10"/>
        <color rgb="FF1E3A2F"/>
        <rFont val="맑은 고딕"/>
        <family val="3"/>
        <charset val="129"/>
      </rPr>
      <t xml:space="preserve">87% </t>
    </r>
    <r>
      <rPr>
        <sz val="10"/>
        <color rgb="FF1E3A2F"/>
        <rFont val="Noto Sans CJK SC"/>
        <family val="2"/>
      </rPr>
      <t>의미 이해하기</t>
    </r>
  </si>
  <si>
    <t>5</t>
  </si>
  <si>
    <r>
      <rPr>
        <sz val="11"/>
        <color rgb="FFFFFFFF"/>
        <rFont val="Noto Sans CJK SC"/>
        <family val="2"/>
      </rPr>
      <t>임계값</t>
    </r>
    <r>
      <rPr>
        <sz val="11"/>
        <color rgb="FFFFFFFF"/>
        <rFont val="맑은 고딕"/>
        <family val="3"/>
        <charset val="129"/>
      </rPr>
      <t xml:space="preserve">(Threshold) </t>
    </r>
    <r>
      <rPr>
        <sz val="11"/>
        <color rgb="FFFFFFFF"/>
        <rFont val="Noto Sans CJK SC"/>
        <family val="2"/>
      </rPr>
      <t>실험</t>
    </r>
  </si>
  <si>
    <r>
      <rPr>
        <sz val="10"/>
        <color rgb="FF1E3A2F"/>
        <rFont val="맑은 고딕"/>
        <family val="3"/>
        <charset val="129"/>
      </rPr>
      <t xml:space="preserve">for threshold in [0.3, 0.4, 0.5, 0.6, 0.7]:
    y_custom = (proba &gt;= threshold).astype(int)
    print Precision, Recall, F1
</t>
    </r>
    <r>
      <rPr>
        <sz val="10"/>
        <color rgb="FF1E3A2F"/>
        <rFont val="Noto Sans CJK SC"/>
        <family val="2"/>
      </rPr>
      <t xml:space="preserve">그래프로 </t>
    </r>
    <r>
      <rPr>
        <sz val="10"/>
        <color rgb="FF1E3A2F"/>
        <rFont val="맑은 고딕"/>
        <family val="3"/>
        <charset val="129"/>
      </rPr>
      <t xml:space="preserve">Precision-Recall </t>
    </r>
    <r>
      <rPr>
        <sz val="10"/>
        <color rgb="FF1E3A2F"/>
        <rFont val="Noto Sans CJK SC"/>
        <family val="2"/>
      </rPr>
      <t>트레이드오프 확인</t>
    </r>
  </si>
  <si>
    <r>
      <rPr>
        <sz val="10"/>
        <color rgb="FF1E3A2F"/>
        <rFont val="Noto Sans CJK SC"/>
        <family val="2"/>
      </rPr>
      <t xml:space="preserve">임계값 낮추면 </t>
    </r>
    <r>
      <rPr>
        <sz val="10"/>
        <color rgb="FF1E3A2F"/>
        <rFont val="맑은 고딕"/>
        <family val="3"/>
        <charset val="129"/>
      </rPr>
      <t xml:space="preserve">Recall↑, Precision↓ </t>
    </r>
    <r>
      <rPr>
        <sz val="10"/>
        <color rgb="FF1E3A2F"/>
        <rFont val="Noto Sans CJK SC"/>
        <family val="2"/>
      </rPr>
      <t>확인</t>
    </r>
  </si>
  <si>
    <t>6</t>
  </si>
  <si>
    <r>
      <rPr>
        <sz val="11"/>
        <color rgb="FFFFFFFF"/>
        <rFont val="맑은 고딕"/>
        <family val="3"/>
        <charset val="129"/>
      </rPr>
      <t>3</t>
    </r>
    <r>
      <rPr>
        <sz val="11"/>
        <color rgb="FFFFFFFF"/>
        <rFont val="Noto Sans CJK SC"/>
        <family val="2"/>
      </rPr>
      <t>모델 최종 비교</t>
    </r>
  </si>
  <si>
    <r>
      <rPr>
        <sz val="10"/>
        <color rgb="FF1E3A2F"/>
        <rFont val="맑은 고딕"/>
        <family val="3"/>
        <charset val="129"/>
      </rPr>
      <t xml:space="preserve">Decision Tree vs Random Forest vs </t>
    </r>
    <r>
      <rPr>
        <sz val="10"/>
        <color rgb="FF1E3A2F"/>
        <rFont val="Noto Sans CJK SC"/>
        <family val="2"/>
      </rPr>
      <t xml:space="preserve">로지스틱 회귀
동일 데이터로 </t>
    </r>
    <r>
      <rPr>
        <sz val="10"/>
        <color rgb="FF1E3A2F"/>
        <rFont val="맑은 고딕"/>
        <family val="3"/>
        <charset val="129"/>
      </rPr>
      <t>3</t>
    </r>
    <r>
      <rPr>
        <sz val="10"/>
        <color rgb="FF1E3A2F"/>
        <rFont val="Noto Sans CJK SC"/>
        <family val="2"/>
      </rPr>
      <t>모델 성능 나란히 비교
막대 그래프 시각화</t>
    </r>
  </si>
  <si>
    <r>
      <rPr>
        <sz val="10"/>
        <color rgb="FF1E3A2F"/>
        <rFont val="Noto Sans CJK SC"/>
        <family val="2"/>
      </rPr>
      <t xml:space="preserve">어떤 모델이 </t>
    </r>
    <r>
      <rPr>
        <sz val="10"/>
        <color rgb="FF1E3A2F"/>
        <rFont val="맑은 고딕"/>
        <family val="3"/>
        <charset val="129"/>
      </rPr>
      <t>Recall</t>
    </r>
    <r>
      <rPr>
        <sz val="10"/>
        <color rgb="FF1E3A2F"/>
        <rFont val="Noto Sans CJK SC"/>
        <family val="2"/>
      </rPr>
      <t>이 가장 높은가</t>
    </r>
    <r>
      <rPr>
        <sz val="10"/>
        <color rgb="FF1E3A2F"/>
        <rFont val="맑은 고딕"/>
        <family val="3"/>
        <charset val="129"/>
      </rPr>
      <t>?</t>
    </r>
  </si>
  <si>
    <t>BONUS</t>
  </si>
  <si>
    <r>
      <rPr>
        <sz val="11"/>
        <color rgb="FFFFFFFF"/>
        <rFont val="Noto Sans CJK SC"/>
        <family val="2"/>
      </rPr>
      <t>오즈비</t>
    </r>
    <r>
      <rPr>
        <sz val="11"/>
        <color rgb="FFFFFFFF"/>
        <rFont val="맑은 고딕"/>
        <family val="3"/>
        <charset val="129"/>
      </rPr>
      <t xml:space="preserve">(Odds Ratio) </t>
    </r>
    <r>
      <rPr>
        <sz val="11"/>
        <color rgb="FFFFFFFF"/>
        <rFont val="Noto Sans CJK SC"/>
        <family val="2"/>
      </rPr>
      <t>계산</t>
    </r>
  </si>
  <si>
    <r>
      <rPr>
        <sz val="10"/>
        <color rgb="FF1E3A2F"/>
        <rFont val="맑은 고딕"/>
        <family val="3"/>
        <charset val="129"/>
      </rPr>
      <t xml:space="preserve">import numpy as np
odds_ratios = np.exp(lr.coef_[0])
→ </t>
    </r>
    <r>
      <rPr>
        <sz val="10"/>
        <color rgb="FF1E3A2F"/>
        <rFont val="Noto Sans CJK SC"/>
        <family val="2"/>
      </rPr>
      <t xml:space="preserve">각 변수의 </t>
    </r>
    <r>
      <rPr>
        <sz val="10"/>
        <color rgb="FF1E3A2F"/>
        <rFont val="맑은 고딕"/>
        <family val="3"/>
        <charset val="129"/>
      </rPr>
      <t xml:space="preserve">OR </t>
    </r>
    <r>
      <rPr>
        <sz val="10"/>
        <color rgb="FF1E3A2F"/>
        <rFont val="Noto Sans CJK SC"/>
        <family val="2"/>
      </rPr>
      <t>값 계산
막대 차트로 시각화</t>
    </r>
  </si>
  <si>
    <r>
      <rPr>
        <sz val="10"/>
        <color rgb="FF1E3A2F"/>
        <rFont val="맑은 고딕"/>
        <family val="3"/>
        <charset val="129"/>
      </rPr>
      <t xml:space="preserve">OR&gt;1: </t>
    </r>
    <r>
      <rPr>
        <sz val="10"/>
        <color rgb="FF1E3A2F"/>
        <rFont val="Noto Sans CJK SC"/>
        <family val="2"/>
      </rPr>
      <t xml:space="preserve">위험 증가 </t>
    </r>
    <r>
      <rPr>
        <sz val="10"/>
        <color rgb="FF1E3A2F"/>
        <rFont val="맑은 고딕"/>
        <family val="3"/>
        <charset val="129"/>
      </rPr>
      <t xml:space="preserve">/ OR&lt;1: </t>
    </r>
    <r>
      <rPr>
        <sz val="10"/>
        <color rgb="FF1E3A2F"/>
        <rFont val="Noto Sans CJK SC"/>
        <family val="2"/>
      </rPr>
      <t>위험 감소</t>
    </r>
  </si>
  <si>
    <r>
      <rPr>
        <b/>
        <sz val="13"/>
        <color rgb="FFFFFFFF"/>
        <rFont val="맑은 고딕"/>
        <family val="3"/>
        <charset val="129"/>
      </rPr>
      <t xml:space="preserve">STEP 5 </t>
    </r>
    <r>
      <rPr>
        <b/>
        <sz val="13"/>
        <color rgb="FFFFFFFF"/>
        <rFont val="Noto Sans CJK SC"/>
        <family val="2"/>
      </rPr>
      <t>실험 결과 기록표 — 임계값</t>
    </r>
    <r>
      <rPr>
        <b/>
        <sz val="13"/>
        <color rgb="FFFFFFFF"/>
        <rFont val="맑은 고딕"/>
        <family val="3"/>
        <charset val="129"/>
      </rPr>
      <t>(Threshold)</t>
    </r>
    <r>
      <rPr>
        <b/>
        <sz val="13"/>
        <color rgb="FFFFFFFF"/>
        <rFont val="Noto Sans CJK SC"/>
        <family val="2"/>
      </rPr>
      <t>별 성능 변화</t>
    </r>
  </si>
  <si>
    <r>
      <rPr>
        <i/>
        <sz val="10"/>
        <color rgb="FF888888"/>
        <rFont val="맑은 고딕"/>
        <family val="3"/>
        <charset val="129"/>
      </rPr>
      <t>Colab</t>
    </r>
    <r>
      <rPr>
        <i/>
        <sz val="10"/>
        <color rgb="FF888888"/>
        <rFont val="Noto Sans CJK SC"/>
        <family val="2"/>
      </rPr>
      <t>에서 각 임계값별 결과를 직접 입력하고</t>
    </r>
    <r>
      <rPr>
        <i/>
        <sz val="10"/>
        <color rgb="FF888888"/>
        <rFont val="맑은 고딕"/>
        <family val="3"/>
        <charset val="129"/>
      </rPr>
      <t xml:space="preserve">, </t>
    </r>
    <r>
      <rPr>
        <i/>
        <sz val="10"/>
        <color rgb="FF888888"/>
        <rFont val="Noto Sans CJK SC"/>
        <family val="2"/>
      </rPr>
      <t>아래 차트가 자동으로 업데이트됩니다</t>
    </r>
  </si>
  <si>
    <t>임계값</t>
  </si>
  <si>
    <r>
      <rPr>
        <b/>
        <sz val="11"/>
        <color rgb="FFFFFFFF"/>
        <rFont val="Noto Sans CJK SC"/>
        <family val="2"/>
      </rPr>
      <t>정확도</t>
    </r>
    <r>
      <rPr>
        <b/>
        <sz val="11"/>
        <color rgb="FFFFFFFF"/>
        <rFont val="맑은 고딕"/>
        <family val="3"/>
        <charset val="129"/>
      </rPr>
      <t>(Accuracy)</t>
    </r>
  </si>
  <si>
    <r>
      <rPr>
        <b/>
        <sz val="11"/>
        <color rgb="FFFFFFFF"/>
        <rFont val="Noto Sans CJK SC"/>
        <family val="2"/>
      </rPr>
      <t>정밀도</t>
    </r>
    <r>
      <rPr>
        <b/>
        <sz val="11"/>
        <color rgb="FFFFFFFF"/>
        <rFont val="맑은 고딕"/>
        <family val="3"/>
        <charset val="129"/>
      </rPr>
      <t>(Precision)</t>
    </r>
  </si>
  <si>
    <r>
      <rPr>
        <b/>
        <sz val="11"/>
        <color rgb="FFFFFFFF"/>
        <rFont val="Noto Sans CJK SC"/>
        <family val="2"/>
      </rPr>
      <t>재현율</t>
    </r>
    <r>
      <rPr>
        <b/>
        <sz val="11"/>
        <color rgb="FFFFFFFF"/>
        <rFont val="맑은 고딕"/>
        <family val="3"/>
        <charset val="129"/>
      </rPr>
      <t>(Recall)</t>
    </r>
  </si>
  <si>
    <t>F1 Score</t>
  </si>
  <si>
    <t>메모</t>
  </si>
  <si>
    <r>
      <rPr>
        <i/>
        <sz val="10"/>
        <color rgb="FF888888"/>
        <rFont val="맑은 고딕"/>
        <family val="3"/>
        <charset val="129"/>
      </rPr>
      <t xml:space="preserve">Recall </t>
    </r>
    <r>
      <rPr>
        <i/>
        <sz val="10"/>
        <color rgb="FF888888"/>
        <rFont val="Noto Sans CJK SC"/>
        <family val="2"/>
      </rPr>
      <t>높음</t>
    </r>
    <r>
      <rPr>
        <i/>
        <sz val="10"/>
        <color rgb="FF888888"/>
        <rFont val="맑은 고딕"/>
        <family val="3"/>
        <charset val="129"/>
      </rPr>
      <t xml:space="preserve">, </t>
    </r>
    <r>
      <rPr>
        <i/>
        <sz val="10"/>
        <color rgb="FF888888"/>
        <rFont val="Noto Sans CJK SC"/>
        <family val="2"/>
      </rPr>
      <t>놓치는 환자 적음</t>
    </r>
  </si>
  <si>
    <r>
      <rPr>
        <i/>
        <sz val="10"/>
        <color rgb="FF888888"/>
        <rFont val="맑은 고딕"/>
        <family val="3"/>
        <charset val="129"/>
      </rPr>
      <t xml:space="preserve">Recall/Precision </t>
    </r>
    <r>
      <rPr>
        <i/>
        <sz val="10"/>
        <color rgb="FF888888"/>
        <rFont val="Noto Sans CJK SC"/>
        <family val="2"/>
      </rPr>
      <t>균형 시작</t>
    </r>
  </si>
  <si>
    <t>기본값 — 균형 잡힌 결과</t>
  </si>
  <si>
    <r>
      <rPr>
        <i/>
        <sz val="10"/>
        <color rgb="FF888888"/>
        <rFont val="맑은 고딕"/>
        <family val="3"/>
        <charset val="129"/>
      </rPr>
      <t xml:space="preserve">Precision </t>
    </r>
    <r>
      <rPr>
        <i/>
        <sz val="10"/>
        <color rgb="FF888888"/>
        <rFont val="Noto Sans CJK SC"/>
        <family val="2"/>
      </rPr>
      <t>높아지기 시작</t>
    </r>
  </si>
  <si>
    <r>
      <rPr>
        <i/>
        <sz val="10"/>
        <color rgb="FF888888"/>
        <rFont val="맑은 고딕"/>
        <family val="3"/>
        <charset val="129"/>
      </rPr>
      <t xml:space="preserve">Precision </t>
    </r>
    <r>
      <rPr>
        <i/>
        <sz val="10"/>
        <color rgb="FF888888"/>
        <rFont val="Noto Sans CJK SC"/>
        <family val="2"/>
      </rPr>
      <t>높음</t>
    </r>
    <r>
      <rPr>
        <i/>
        <sz val="10"/>
        <color rgb="FF888888"/>
        <rFont val="맑은 고딕"/>
        <family val="3"/>
        <charset val="129"/>
      </rPr>
      <t xml:space="preserve">, </t>
    </r>
    <r>
      <rPr>
        <i/>
        <sz val="10"/>
        <color rgb="FF888888"/>
        <rFont val="Noto Sans CJK SC"/>
        <family val="2"/>
      </rPr>
      <t>확실한 경우만</t>
    </r>
  </si>
  <si>
    <r>
      <rPr>
        <b/>
        <sz val="10"/>
        <color rgb="FFB85A2A"/>
        <rFont val="Noto Sans CJK SC"/>
        <family val="2"/>
      </rPr>
      <t xml:space="preserve">▲ 위 노란색 셀에 </t>
    </r>
    <r>
      <rPr>
        <b/>
        <sz val="10"/>
        <color rgb="FFB85A2A"/>
        <rFont val="맑은 고딕"/>
        <family val="3"/>
        <charset val="129"/>
      </rPr>
      <t xml:space="preserve">Colab </t>
    </r>
    <r>
      <rPr>
        <b/>
        <sz val="10"/>
        <color rgb="FFB85A2A"/>
        <rFont val="Noto Sans CJK SC"/>
        <family val="2"/>
      </rPr>
      <t>실행 결과를 직접 입력하세요 — 아래 차트가 자동 업데이트됩니다</t>
    </r>
  </si>
  <si>
    <r>
      <rPr>
        <b/>
        <sz val="13"/>
        <color rgb="FFFFFFFF"/>
        <rFont val="맑은 고딕"/>
        <family val="3"/>
        <charset val="129"/>
      </rPr>
      <t xml:space="preserve">STEP 6 — Decision Tree vs Random Forest vs </t>
    </r>
    <r>
      <rPr>
        <b/>
        <sz val="13"/>
        <color rgb="FFFFFFFF"/>
        <rFont val="Noto Sans CJK SC"/>
        <family val="2"/>
      </rPr>
      <t>로지스틱 회귀 성능 비교</t>
    </r>
  </si>
  <si>
    <r>
      <rPr>
        <i/>
        <sz val="10"/>
        <color rgb="FF888888"/>
        <rFont val="맑은 고딕"/>
        <family val="3"/>
        <charset val="129"/>
      </rPr>
      <t xml:space="preserve">Colab </t>
    </r>
    <r>
      <rPr>
        <i/>
        <sz val="10"/>
        <color rgb="FF888888"/>
        <rFont val="Noto Sans CJK SC"/>
        <family val="2"/>
      </rPr>
      <t>실행 결과를 입력하면 자동으로 셀 색상이 변합니다</t>
    </r>
  </si>
  <si>
    <t>지표</t>
  </si>
  <si>
    <t>Decision Tree</t>
  </si>
  <si>
    <t>Random Forest</t>
  </si>
  <si>
    <t>로지스틱 회귀</t>
  </si>
  <si>
    <t>최고 모델</t>
  </si>
  <si>
    <r>
      <rPr>
        <b/>
        <sz val="11"/>
        <color rgb="FF1E3A2F"/>
        <rFont val="Noto Sans CJK SC"/>
        <family val="2"/>
      </rPr>
      <t xml:space="preserve">정확도 </t>
    </r>
    <r>
      <rPr>
        <b/>
        <sz val="11"/>
        <color rgb="FF1E3A2F"/>
        <rFont val="맑은 고딕"/>
        <family val="3"/>
        <charset val="129"/>
      </rPr>
      <t>(Accuracy)</t>
    </r>
  </si>
  <si>
    <r>
      <rPr>
        <b/>
        <sz val="11"/>
        <color rgb="FF1E3A2F"/>
        <rFont val="Noto Sans CJK SC"/>
        <family val="2"/>
      </rPr>
      <t xml:space="preserve">정밀도 </t>
    </r>
    <r>
      <rPr>
        <b/>
        <sz val="11"/>
        <color rgb="FF1E3A2F"/>
        <rFont val="맑은 고딕"/>
        <family val="3"/>
        <charset val="129"/>
      </rPr>
      <t>(Precision)</t>
    </r>
  </si>
  <si>
    <r>
      <rPr>
        <b/>
        <sz val="11"/>
        <color rgb="FF1E3A2F"/>
        <rFont val="Noto Sans CJK SC"/>
        <family val="2"/>
      </rPr>
      <t xml:space="preserve">재현율 </t>
    </r>
    <r>
      <rPr>
        <b/>
        <sz val="11"/>
        <color rgb="FF1E3A2F"/>
        <rFont val="맑은 고딕"/>
        <family val="3"/>
        <charset val="129"/>
      </rPr>
      <t>(Recall)</t>
    </r>
  </si>
  <si>
    <r>
      <rPr>
        <i/>
        <sz val="9"/>
        <color rgb="FF888888"/>
        <rFont val="Noto Sans CJK SC"/>
        <family val="2"/>
      </rPr>
      <t xml:space="preserve">※ 정확도 </t>
    </r>
    <r>
      <rPr>
        <i/>
        <sz val="9"/>
        <color rgb="FF888888"/>
        <rFont val="맑은 고딕"/>
        <family val="3"/>
        <charset val="129"/>
      </rPr>
      <t xml:space="preserve">(Accuracy): </t>
    </r>
    <r>
      <rPr>
        <i/>
        <sz val="9"/>
        <color rgb="FF888888"/>
        <rFont val="Noto Sans CJK SC"/>
        <family val="2"/>
      </rPr>
      <t>전체 중 맞춘 비율</t>
    </r>
  </si>
  <si>
    <r>
      <rPr>
        <i/>
        <sz val="9"/>
        <color rgb="FF888888"/>
        <rFont val="Noto Sans CJK SC"/>
        <family val="2"/>
      </rPr>
      <t xml:space="preserve">※ 정밀도 </t>
    </r>
    <r>
      <rPr>
        <i/>
        <sz val="9"/>
        <color rgb="FF888888"/>
        <rFont val="맑은 고딕"/>
        <family val="3"/>
        <charset val="129"/>
      </rPr>
      <t xml:space="preserve">(Precision): </t>
    </r>
    <r>
      <rPr>
        <i/>
        <sz val="9"/>
        <color rgb="FF888888"/>
        <rFont val="Noto Sans CJK SC"/>
        <family val="2"/>
      </rPr>
      <t>양성 판정 중 실제 양성 비율</t>
    </r>
  </si>
  <si>
    <r>
      <rPr>
        <i/>
        <sz val="9"/>
        <color rgb="FF888888"/>
        <rFont val="Noto Sans CJK SC"/>
        <family val="2"/>
      </rPr>
      <t xml:space="preserve">※ 재현율 </t>
    </r>
    <r>
      <rPr>
        <i/>
        <sz val="9"/>
        <color rgb="FF888888"/>
        <rFont val="맑은 고딕"/>
        <family val="3"/>
        <charset val="129"/>
      </rPr>
      <t xml:space="preserve">(Recall): </t>
    </r>
    <r>
      <rPr>
        <i/>
        <sz val="9"/>
        <color rgb="FF888888"/>
        <rFont val="Noto Sans CJK SC"/>
        <family val="2"/>
      </rPr>
      <t>실제 양성 중 잡아낸 비율</t>
    </r>
  </si>
  <si>
    <r>
      <rPr>
        <i/>
        <sz val="9"/>
        <color rgb="FF888888"/>
        <rFont val="맑은 고딕"/>
        <family val="3"/>
        <charset val="129"/>
      </rPr>
      <t>※ F1 Score: Precision</t>
    </r>
    <r>
      <rPr>
        <i/>
        <sz val="9"/>
        <color rgb="FF888888"/>
        <rFont val="Noto Sans CJK SC"/>
        <family val="2"/>
      </rPr>
      <t xml:space="preserve">과 </t>
    </r>
    <r>
      <rPr>
        <i/>
        <sz val="9"/>
        <color rgb="FF888888"/>
        <rFont val="맑은 고딕"/>
        <family val="3"/>
        <charset val="129"/>
      </rPr>
      <t>Recall</t>
    </r>
    <r>
      <rPr>
        <i/>
        <sz val="9"/>
        <color rgb="FF888888"/>
        <rFont val="Noto Sans CJK SC"/>
        <family val="2"/>
      </rPr>
      <t>의 조화평균</t>
    </r>
  </si>
  <si>
    <r>
      <rPr>
        <b/>
        <sz val="13"/>
        <color rgb="FFFFFFFF"/>
        <rFont val="맑은 고딕"/>
        <family val="3"/>
        <charset val="129"/>
      </rPr>
      <t xml:space="preserve">BONUS — </t>
    </r>
    <r>
      <rPr>
        <b/>
        <sz val="13"/>
        <color rgb="FFFFFFFF"/>
        <rFont val="Noto Sans CJK SC"/>
        <family val="2"/>
      </rPr>
      <t>오즈비</t>
    </r>
    <r>
      <rPr>
        <b/>
        <sz val="13"/>
        <color rgb="FFFFFFFF"/>
        <rFont val="맑은 고딕"/>
        <family val="3"/>
        <charset val="129"/>
      </rPr>
      <t xml:space="preserve">(Odds Ratio) </t>
    </r>
    <r>
      <rPr>
        <b/>
        <sz val="13"/>
        <color rgb="FFFFFFFF"/>
        <rFont val="Noto Sans CJK SC"/>
        <family val="2"/>
      </rPr>
      <t>해석 참고표</t>
    </r>
  </si>
  <si>
    <r>
      <rPr>
        <i/>
        <sz val="10"/>
        <color rgb="FF888888"/>
        <rFont val="맑은 고딕"/>
        <family val="3"/>
        <charset val="129"/>
      </rPr>
      <t xml:space="preserve">import numpy as np  →  odds_ratios = np.exp(lr.coef_[0])  →  </t>
    </r>
    <r>
      <rPr>
        <i/>
        <sz val="10"/>
        <color rgb="FF888888"/>
        <rFont val="Noto Sans CJK SC"/>
        <family val="2"/>
      </rPr>
      <t>아래 표와 비교하세요</t>
    </r>
  </si>
  <si>
    <r>
      <rPr>
        <b/>
        <sz val="11"/>
        <color rgb="FFFFFFFF"/>
        <rFont val="Noto Sans CJK SC"/>
        <family val="2"/>
      </rPr>
      <t>변수</t>
    </r>
    <r>
      <rPr>
        <b/>
        <sz val="11"/>
        <color rgb="FFFFFFFF"/>
        <rFont val="맑은 고딕"/>
        <family val="3"/>
        <charset val="129"/>
      </rPr>
      <t>(Feature)</t>
    </r>
  </si>
  <si>
    <r>
      <rPr>
        <b/>
        <sz val="11"/>
        <color rgb="FFFFFFFF"/>
        <rFont val="Noto Sans CJK SC"/>
        <family val="2"/>
      </rPr>
      <t>계수</t>
    </r>
    <r>
      <rPr>
        <b/>
        <sz val="11"/>
        <color rgb="FFFFFFFF"/>
        <rFont val="맑은 고딕"/>
        <family val="3"/>
        <charset val="129"/>
      </rPr>
      <t xml:space="preserve">(β) </t>
    </r>
    <r>
      <rPr>
        <b/>
        <sz val="11"/>
        <color rgb="FFFFFFFF"/>
        <rFont val="Noto Sans CJK SC"/>
        <family val="2"/>
      </rPr>
      <t>입력</t>
    </r>
  </si>
  <si>
    <r>
      <rPr>
        <b/>
        <sz val="11"/>
        <color rgb="FFFFFFFF"/>
        <rFont val="Noto Sans CJK SC"/>
        <family val="2"/>
      </rPr>
      <t>오즈비</t>
    </r>
    <r>
      <rPr>
        <b/>
        <sz val="11"/>
        <color rgb="FFFFFFFF"/>
        <rFont val="맑은 고딕"/>
        <family val="3"/>
        <charset val="129"/>
      </rPr>
      <t>(OR)</t>
    </r>
  </si>
  <si>
    <t>해석</t>
  </si>
  <si>
    <t>임상적 의미</t>
  </si>
  <si>
    <r>
      <rPr>
        <sz val="10"/>
        <color rgb="FF1E3A2F"/>
        <rFont val="Noto Sans CJK SC"/>
        <family val="2"/>
      </rPr>
      <t xml:space="preserve">혈당 </t>
    </r>
    <r>
      <rPr>
        <sz val="10"/>
        <color rgb="FF1E3A2F"/>
        <rFont val="맑은 고딕"/>
        <family val="3"/>
        <charset val="129"/>
      </rPr>
      <t xml:space="preserve">1 </t>
    </r>
    <r>
      <rPr>
        <sz val="10"/>
        <color rgb="FF1E3A2F"/>
        <rFont val="Noto Sans CJK SC"/>
        <family val="2"/>
      </rPr>
      <t>단위 증가 시 당뇨 오즈 변화</t>
    </r>
  </si>
  <si>
    <r>
      <rPr>
        <i/>
        <sz val="10"/>
        <color rgb="FF1E8A6E"/>
        <rFont val="Noto Sans CJK SC"/>
        <family val="2"/>
      </rPr>
      <t xml:space="preserve">가장 중요한 예측 변수 </t>
    </r>
    <r>
      <rPr>
        <i/>
        <sz val="10"/>
        <color rgb="FF1E8A6E"/>
        <rFont val="맑은 고딕"/>
        <family val="3"/>
        <charset val="129"/>
      </rPr>
      <t xml:space="preserve">(OR&gt;1 </t>
    </r>
    <r>
      <rPr>
        <i/>
        <sz val="10"/>
        <color rgb="FF1E8A6E"/>
        <rFont val="Noto Sans CJK SC"/>
        <family val="2"/>
      </rPr>
      <t>예상</t>
    </r>
    <r>
      <rPr>
        <i/>
        <sz val="10"/>
        <color rgb="FF1E8A6E"/>
        <rFont val="맑은 고딕"/>
        <family val="3"/>
        <charset val="129"/>
      </rPr>
      <t>)</t>
    </r>
  </si>
  <si>
    <r>
      <rPr>
        <sz val="10"/>
        <color rgb="FF1E3A2F"/>
        <rFont val="맑은 고딕"/>
        <family val="3"/>
        <charset val="129"/>
      </rPr>
      <t xml:space="preserve">BMI 1 </t>
    </r>
    <r>
      <rPr>
        <sz val="10"/>
        <color rgb="FF1E3A2F"/>
        <rFont val="Noto Sans CJK SC"/>
        <family val="2"/>
      </rPr>
      <t>단위 증가 시 당뇨 오즈 변화</t>
    </r>
  </si>
  <si>
    <r>
      <rPr>
        <i/>
        <sz val="10"/>
        <color rgb="FF1E8A6E"/>
        <rFont val="Noto Sans CJK SC"/>
        <family val="2"/>
      </rPr>
      <t xml:space="preserve">비만일수록 위험 증가 </t>
    </r>
    <r>
      <rPr>
        <i/>
        <sz val="10"/>
        <color rgb="FF1E8A6E"/>
        <rFont val="맑은 고딕"/>
        <family val="3"/>
        <charset val="129"/>
      </rPr>
      <t xml:space="preserve">(OR&gt;1 </t>
    </r>
    <r>
      <rPr>
        <i/>
        <sz val="10"/>
        <color rgb="FF1E8A6E"/>
        <rFont val="Noto Sans CJK SC"/>
        <family val="2"/>
      </rPr>
      <t>예상</t>
    </r>
    <r>
      <rPr>
        <i/>
        <sz val="10"/>
        <color rgb="FF1E8A6E"/>
        <rFont val="맑은 고딕"/>
        <family val="3"/>
        <charset val="129"/>
      </rPr>
      <t>)</t>
    </r>
  </si>
  <si>
    <r>
      <rPr>
        <sz val="10"/>
        <color rgb="FF1E3A2F"/>
        <rFont val="Noto Sans CJK SC"/>
        <family val="2"/>
      </rPr>
      <t xml:space="preserve">나이 </t>
    </r>
    <r>
      <rPr>
        <sz val="10"/>
        <color rgb="FF1E3A2F"/>
        <rFont val="맑은 고딕"/>
        <family val="3"/>
        <charset val="129"/>
      </rPr>
      <t>1</t>
    </r>
    <r>
      <rPr>
        <sz val="10"/>
        <color rgb="FF1E3A2F"/>
        <rFont val="Noto Sans CJK SC"/>
        <family val="2"/>
      </rPr>
      <t>세 증가 시 당뇨 오즈 변화</t>
    </r>
  </si>
  <si>
    <r>
      <rPr>
        <i/>
        <sz val="10"/>
        <color rgb="FF1E8A6E"/>
        <rFont val="Noto Sans CJK SC"/>
        <family val="2"/>
      </rPr>
      <t xml:space="preserve">고령일수록 위험 증가 </t>
    </r>
    <r>
      <rPr>
        <i/>
        <sz val="10"/>
        <color rgb="FF1E8A6E"/>
        <rFont val="맑은 고딕"/>
        <family val="3"/>
        <charset val="129"/>
      </rPr>
      <t xml:space="preserve">(OR&gt;1 </t>
    </r>
    <r>
      <rPr>
        <i/>
        <sz val="10"/>
        <color rgb="FF1E8A6E"/>
        <rFont val="Noto Sans CJK SC"/>
        <family val="2"/>
      </rPr>
      <t>예상</t>
    </r>
    <r>
      <rPr>
        <i/>
        <sz val="10"/>
        <color rgb="FF1E8A6E"/>
        <rFont val="맑은 고딕"/>
        <family val="3"/>
        <charset val="129"/>
      </rPr>
      <t>)</t>
    </r>
  </si>
  <si>
    <r>
      <rPr>
        <sz val="10"/>
        <color rgb="FF1E3A2F"/>
        <rFont val="Noto Sans CJK SC"/>
        <family val="2"/>
      </rPr>
      <t xml:space="preserve">혈압 </t>
    </r>
    <r>
      <rPr>
        <sz val="10"/>
        <color rgb="FF1E3A2F"/>
        <rFont val="맑은 고딕"/>
        <family val="3"/>
        <charset val="129"/>
      </rPr>
      <t xml:space="preserve">1 </t>
    </r>
    <r>
      <rPr>
        <sz val="10"/>
        <color rgb="FF1E3A2F"/>
        <rFont val="Noto Sans CJK SC"/>
        <family val="2"/>
      </rPr>
      <t>단위 증가 시 당뇨 오즈 변화</t>
    </r>
  </si>
  <si>
    <t>혈압과 당뇨의 관계 확인</t>
  </si>
  <si>
    <r>
      <rPr>
        <sz val="10"/>
        <color rgb="FF1E3A2F"/>
        <rFont val="Noto Sans CJK SC"/>
        <family val="2"/>
      </rPr>
      <t xml:space="preserve">운동 </t>
    </r>
    <r>
      <rPr>
        <sz val="10"/>
        <color rgb="FF1E3A2F"/>
        <rFont val="맑은 고딕"/>
        <family val="3"/>
        <charset val="129"/>
      </rPr>
      <t>1</t>
    </r>
    <r>
      <rPr>
        <sz val="10"/>
        <color rgb="FF1E3A2F"/>
        <rFont val="Noto Sans CJK SC"/>
        <family val="2"/>
      </rPr>
      <t xml:space="preserve">회 증가 시 당뇨 오즈 변화 </t>
    </r>
    <r>
      <rPr>
        <sz val="10"/>
        <color rgb="FF1E3A2F"/>
        <rFont val="맑은 고딕"/>
        <family val="3"/>
        <charset val="129"/>
      </rPr>
      <t>(</t>
    </r>
    <r>
      <rPr>
        <sz val="10"/>
        <color rgb="FF1E3A2F"/>
        <rFont val="Noto Sans CJK SC"/>
        <family val="2"/>
      </rPr>
      <t>감소 기대</t>
    </r>
    <r>
      <rPr>
        <sz val="10"/>
        <color rgb="FF1E3A2F"/>
        <rFont val="맑은 고딕"/>
        <family val="3"/>
        <charset val="129"/>
      </rPr>
      <t>)</t>
    </r>
  </si>
  <si>
    <r>
      <rPr>
        <i/>
        <sz val="10"/>
        <color rgb="FF1E8A6E"/>
        <rFont val="Noto Sans CJK SC"/>
        <family val="2"/>
      </rPr>
      <t xml:space="preserve">운동은 보호 요인 </t>
    </r>
    <r>
      <rPr>
        <i/>
        <sz val="10"/>
        <color rgb="FF1E8A6E"/>
        <rFont val="맑은 고딕"/>
        <family val="3"/>
        <charset val="129"/>
      </rPr>
      <t xml:space="preserve">(OR&lt;1 </t>
    </r>
    <r>
      <rPr>
        <i/>
        <sz val="10"/>
        <color rgb="FF1E8A6E"/>
        <rFont val="Noto Sans CJK SC"/>
        <family val="2"/>
      </rPr>
      <t>예상</t>
    </r>
    <r>
      <rPr>
        <i/>
        <sz val="10"/>
        <color rgb="FF1E8A6E"/>
        <rFont val="맑은 고딕"/>
        <family val="3"/>
        <charset val="129"/>
      </rPr>
      <t>)</t>
    </r>
  </si>
  <si>
    <r>
      <rPr>
        <sz val="10"/>
        <color rgb="FF1E3A2F"/>
        <rFont val="Noto Sans CJK SC"/>
        <family val="2"/>
      </rPr>
      <t xml:space="preserve">가족력 있을 때 </t>
    </r>
    <r>
      <rPr>
        <sz val="10"/>
        <color rgb="FF1E3A2F"/>
        <rFont val="맑은 고딕"/>
        <family val="3"/>
        <charset val="129"/>
      </rPr>
      <t xml:space="preserve">vs </t>
    </r>
    <r>
      <rPr>
        <sz val="10"/>
        <color rgb="FF1E3A2F"/>
        <rFont val="Noto Sans CJK SC"/>
        <family val="2"/>
      </rPr>
      <t>없을 때 당뇨 오즈 배율</t>
    </r>
  </si>
  <si>
    <r>
      <rPr>
        <i/>
        <sz val="10"/>
        <color rgb="FF1E8A6E"/>
        <rFont val="Noto Sans CJK SC"/>
        <family val="2"/>
      </rPr>
      <t xml:space="preserve">유전적 요인 확인 </t>
    </r>
    <r>
      <rPr>
        <i/>
        <sz val="10"/>
        <color rgb="FF1E8A6E"/>
        <rFont val="맑은 고딕"/>
        <family val="3"/>
        <charset val="129"/>
      </rPr>
      <t xml:space="preserve">(OR&gt;1 </t>
    </r>
    <r>
      <rPr>
        <i/>
        <sz val="10"/>
        <color rgb="FF1E8A6E"/>
        <rFont val="Noto Sans CJK SC"/>
        <family val="2"/>
      </rPr>
      <t>예상</t>
    </r>
    <r>
      <rPr>
        <i/>
        <sz val="10"/>
        <color rgb="FF1E8A6E"/>
        <rFont val="맑은 고딕"/>
        <family val="3"/>
        <charset val="129"/>
      </rPr>
      <t>)</t>
    </r>
  </si>
  <si>
    <r>
      <rPr>
        <sz val="10"/>
        <color rgb="FF1E3A2F"/>
        <rFont val="Noto Sans CJK SC"/>
        <family val="2"/>
      </rPr>
      <t xml:space="preserve">인슐린 </t>
    </r>
    <r>
      <rPr>
        <sz val="10"/>
        <color rgb="FF1E3A2F"/>
        <rFont val="맑은 고딕"/>
        <family val="3"/>
        <charset val="129"/>
      </rPr>
      <t xml:space="preserve">1 </t>
    </r>
    <r>
      <rPr>
        <sz val="10"/>
        <color rgb="FF1E3A2F"/>
        <rFont val="Noto Sans CJK SC"/>
        <family val="2"/>
      </rPr>
      <t>단위 증가 시 당뇨 오즈 변화</t>
    </r>
  </si>
  <si>
    <t>인슐린 저항성 반영 여부</t>
  </si>
  <si>
    <r>
      <rPr>
        <b/>
        <sz val="10"/>
        <color rgb="FFB85A2A"/>
        <rFont val="맑은 고딕"/>
        <family val="3"/>
        <charset val="129"/>
      </rPr>
      <t xml:space="preserve">OR </t>
    </r>
    <r>
      <rPr>
        <b/>
        <sz val="10"/>
        <color rgb="FFB85A2A"/>
        <rFont val="Noto Sans CJK SC"/>
        <family val="2"/>
      </rPr>
      <t>해석</t>
    </r>
    <r>
      <rPr>
        <b/>
        <sz val="10"/>
        <color rgb="FFB85A2A"/>
        <rFont val="맑은 고딕"/>
        <family val="3"/>
        <charset val="129"/>
      </rPr>
      <t>: OR=1.0 (</t>
    </r>
    <r>
      <rPr>
        <b/>
        <sz val="10"/>
        <color rgb="FFB85A2A"/>
        <rFont val="Noto Sans CJK SC"/>
        <family val="2"/>
      </rPr>
      <t>영향 없음</t>
    </r>
    <r>
      <rPr>
        <b/>
        <sz val="10"/>
        <color rgb="FFB85A2A"/>
        <rFont val="맑은 고딕"/>
        <family val="3"/>
        <charset val="129"/>
      </rPr>
      <t>)  |  OR&gt;1 (</t>
    </r>
    <r>
      <rPr>
        <b/>
        <sz val="10"/>
        <color rgb="FFB85A2A"/>
        <rFont val="Noto Sans CJK SC"/>
        <family val="2"/>
      </rPr>
      <t>위험 증가</t>
    </r>
    <r>
      <rPr>
        <b/>
        <sz val="10"/>
        <color rgb="FFB85A2A"/>
        <rFont val="맑은 고딕"/>
        <family val="3"/>
        <charset val="129"/>
      </rPr>
      <t>)  |  OR&lt;1 (</t>
    </r>
    <r>
      <rPr>
        <b/>
        <sz val="10"/>
        <color rgb="FFB85A2A"/>
        <rFont val="Noto Sans CJK SC"/>
        <family val="2"/>
      </rPr>
      <t>위험 감소</t>
    </r>
    <r>
      <rPr>
        <b/>
        <sz val="10"/>
        <color rgb="FFB85A2A"/>
        <rFont val="맑은 고딕"/>
        <family val="3"/>
        <charset val="129"/>
      </rPr>
      <t xml:space="preserve">, </t>
    </r>
    <r>
      <rPr>
        <b/>
        <sz val="10"/>
        <color rgb="FFB85A2A"/>
        <rFont val="Noto Sans CJK SC"/>
        <family val="2"/>
      </rPr>
      <t>보호 요인</t>
    </r>
    <r>
      <rPr>
        <b/>
        <sz val="10"/>
        <color rgb="FFB85A2A"/>
        <rFont val="맑은 고딕"/>
        <family val="3"/>
        <charset val="129"/>
      </rPr>
      <t xml:space="preserve">)  |  OR=2.0 → </t>
    </r>
    <r>
      <rPr>
        <b/>
        <sz val="10"/>
        <color rgb="FFB85A2A"/>
        <rFont val="Noto Sans CJK SC"/>
        <family val="2"/>
      </rPr>
      <t xml:space="preserve">위험 </t>
    </r>
    <r>
      <rPr>
        <b/>
        <sz val="10"/>
        <color rgb="FFB85A2A"/>
        <rFont val="맑은 고딕"/>
        <family val="3"/>
        <charset val="129"/>
      </rPr>
      <t>2</t>
    </r>
    <r>
      <rPr>
        <b/>
        <sz val="10"/>
        <color rgb="FFB85A2A"/>
        <rFont val="Noto Sans CJK SC"/>
        <family val="2"/>
      </rPr>
      <t>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</si>
</sst>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00"/>
    <numFmt numFmtId="178" formatCode="0.0000"/>
  </numFmts>
  <fonts count="38">
    <font>
      <sz val="11"/>
      <color theme="1"/>
      <name val="Calibri"/>
      <family val="2"/>
      <charset val="1"/>
    </font>
    <font>
      <b/>
      <sz val="14"/>
      <color rgb="FFFFFFFF"/>
      <name val="맑은 고딕"/>
      <family val="3"/>
      <charset val="129"/>
    </font>
    <font>
      <b/>
      <sz val="14"/>
      <color rgb="FFFFFFFF"/>
      <name val="Noto Sans CJK SC"/>
      <family val="2"/>
    </font>
    <font>
      <i/>
      <sz val="10"/>
      <color rgb="FF888888"/>
      <name val="Noto Sans CJK SC"/>
      <family val="2"/>
    </font>
    <font>
      <i/>
      <sz val="10"/>
      <color rgb="FF888888"/>
      <name val="맑은 고딕"/>
      <family val="3"/>
      <charset val="129"/>
    </font>
    <font>
      <b/>
      <sz val="11"/>
      <color rgb="FFFFFFFF"/>
      <name val="Noto Sans CJK SC"/>
      <family val="2"/>
    </font>
    <font>
      <b/>
      <sz val="11"/>
      <color rgb="FFFFFFFF"/>
      <name val="맑은 고딕"/>
      <family val="3"/>
      <charset val="129"/>
    </font>
    <font>
      <i/>
      <sz val="9"/>
      <color rgb="FF2A6FA8"/>
      <name val="Noto Sans CJK SC"/>
      <family val="2"/>
    </font>
    <font>
      <i/>
      <sz val="9"/>
      <color rgb="FF2A6FA8"/>
      <name val="맑은 고딕"/>
      <family val="3"/>
      <charset val="129"/>
    </font>
    <font>
      <i/>
      <sz val="9"/>
      <color rgb="FF1E8A6E"/>
      <name val="맑은 고딕"/>
      <family val="3"/>
      <charset val="129"/>
    </font>
    <font>
      <i/>
      <sz val="9"/>
      <color rgb="FF2D7A60"/>
      <name val="Noto Sans CJK SC"/>
      <family val="2"/>
    </font>
    <font>
      <i/>
      <sz val="9"/>
      <color rgb="FF2D7A60"/>
      <name val="맑은 고딕"/>
      <family val="3"/>
      <charset val="129"/>
    </font>
    <font>
      <i/>
      <sz val="9"/>
      <color rgb="FFB85A2A"/>
      <name val="Noto Sans CJK SC"/>
      <family val="2"/>
    </font>
    <font>
      <i/>
      <sz val="9"/>
      <color rgb="FFB85A2A"/>
      <name val="맑은 고딕"/>
      <family val="3"/>
      <charset val="129"/>
    </font>
    <font>
      <i/>
      <sz val="9"/>
      <color rgb="FFD04020"/>
      <name val="맑은 고딕"/>
      <family val="3"/>
      <charset val="129"/>
    </font>
    <font>
      <i/>
      <sz val="9"/>
      <color rgb="FFD04020"/>
      <name val="Noto Sans CJK SC"/>
      <family val="2"/>
    </font>
    <font>
      <sz val="10"/>
      <color rgb="FF1E3A2F"/>
      <name val="맑은 고딕"/>
      <family val="3"/>
      <charset val="129"/>
    </font>
    <font>
      <sz val="10"/>
      <color rgb="FF1E3A2F"/>
      <name val="Noto Sans CJK SC"/>
      <family val="2"/>
    </font>
    <font>
      <sz val="10"/>
      <color rgb="FFD04020"/>
      <name val="맑은 고딕"/>
      <family val="3"/>
      <charset val="129"/>
    </font>
    <font>
      <b/>
      <sz val="10"/>
      <color rgb="FFFFFFFF"/>
      <name val="Noto Sans CJK SC"/>
      <family val="2"/>
    </font>
    <font>
      <sz val="11"/>
      <color rgb="FFFFFFFF"/>
      <name val="Noto Sans CJK SC"/>
      <family val="2"/>
    </font>
    <font>
      <sz val="11"/>
      <color rgb="FFFFFFFF"/>
      <name val="맑은 고딕"/>
      <family val="3"/>
      <charset val="129"/>
    </font>
    <font>
      <b/>
      <sz val="13"/>
      <color rgb="FFFFFFFF"/>
      <name val="맑은 고딕"/>
      <family val="3"/>
      <charset val="129"/>
    </font>
    <font>
      <b/>
      <sz val="13"/>
      <color rgb="FFFFFFFF"/>
      <name val="Noto Sans CJK SC"/>
      <family val="2"/>
    </font>
    <font>
      <b/>
      <sz val="12"/>
      <color rgb="FF5A4A9E"/>
      <name val="맑은 고딕"/>
      <family val="3"/>
      <charset val="129"/>
    </font>
    <font>
      <sz val="11"/>
      <color rgb="FF2A6FA8"/>
      <name val="맑은 고딕"/>
      <family val="3"/>
      <charset val="129"/>
    </font>
    <font>
      <b/>
      <sz val="10"/>
      <color rgb="FFB85A2A"/>
      <name val="Noto Sans CJK SC"/>
      <family val="2"/>
    </font>
    <font>
      <b/>
      <sz val="10"/>
      <color rgb="FFB85A2A"/>
      <name val="맑은 고딕"/>
      <family val="3"/>
      <charset val="129"/>
    </font>
    <font>
      <b/>
      <sz val="11"/>
      <color rgb="FF1E3A2F"/>
      <name val="Noto Sans CJK SC"/>
      <family val="2"/>
    </font>
    <font>
      <b/>
      <sz val="11"/>
      <color rgb="FF1E3A2F"/>
      <name val="맑은 고딕"/>
      <family val="3"/>
      <charset val="129"/>
    </font>
    <font>
      <b/>
      <sz val="12"/>
      <color rgb="FF1E3A2F"/>
      <name val="맑은 고딕"/>
      <family val="3"/>
      <charset val="129"/>
    </font>
    <font>
      <b/>
      <sz val="11"/>
      <color rgb="FF5A4A9E"/>
      <name val="Noto Sans CJK SC"/>
      <family val="2"/>
    </font>
    <font>
      <i/>
      <sz val="9"/>
      <color rgb="FF888888"/>
      <name val="Noto Sans CJK SC"/>
      <family val="2"/>
    </font>
    <font>
      <i/>
      <sz val="9"/>
      <color rgb="FF888888"/>
      <name val="맑은 고딕"/>
      <family val="3"/>
      <charset val="129"/>
    </font>
    <font>
      <b/>
      <sz val="12"/>
      <color rgb="FFB85A2A"/>
      <name val="맑은 고딕"/>
      <family val="3"/>
      <charset val="129"/>
    </font>
    <font>
      <i/>
      <sz val="10"/>
      <color rgb="FF1E8A6E"/>
      <name val="Noto Sans CJK SC"/>
      <family val="2"/>
    </font>
    <font>
      <i/>
      <sz val="10"/>
      <color rgb="FF1E8A6E"/>
      <name val="맑은 고딕"/>
      <family val="3"/>
      <charset val="129"/>
    </font>
    <font>
      <sz val="8"/>
      <name val="돋움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rgb="FF1E3A2F"/>
        <bgColor rgb="FF333300"/>
      </patternFill>
    </fill>
    <fill>
      <patternFill patternType="solid">
        <fgColor rgb="FFD0EDE3"/>
        <bgColor rgb="FFC0EAD8"/>
      </patternFill>
    </fill>
    <fill>
      <patternFill patternType="solid">
        <fgColor rgb="FF2A6FA8"/>
        <bgColor rgb="FF2D7A60"/>
      </patternFill>
    </fill>
    <fill>
      <patternFill patternType="solid">
        <fgColor rgb="FF1E8A6E"/>
        <bgColor rgb="FF2D7A60"/>
      </patternFill>
    </fill>
    <fill>
      <patternFill patternType="solid">
        <fgColor rgb="FF2D7A60"/>
        <bgColor rgb="FF1E8A6E"/>
      </patternFill>
    </fill>
    <fill>
      <patternFill patternType="solid">
        <fgColor rgb="FFB85A2A"/>
        <bgColor rgb="FFD04020"/>
      </patternFill>
    </fill>
    <fill>
      <patternFill patternType="solid">
        <fgColor rgb="FFD04020"/>
        <bgColor rgb="FFB85A2A"/>
      </patternFill>
    </fill>
    <fill>
      <patternFill patternType="solid">
        <fgColor rgb="FFF2F2F2"/>
        <bgColor rgb="FFEEF3FF"/>
      </patternFill>
    </fill>
    <fill>
      <patternFill patternType="solid">
        <fgColor rgb="FFF8FBF9"/>
        <bgColor rgb="FFFFFFFF"/>
      </patternFill>
    </fill>
    <fill>
      <patternFill patternType="solid">
        <fgColor rgb="FFFCECEA"/>
        <bgColor rgb="FFF2F2F2"/>
      </patternFill>
    </fill>
    <fill>
      <patternFill patternType="solid">
        <fgColor rgb="FFFFFFFF"/>
        <bgColor rgb="FFF8FBF9"/>
      </patternFill>
    </fill>
    <fill>
      <patternFill patternType="solid">
        <fgColor rgb="FFC0EAD8"/>
        <bgColor rgb="FFB8EAD8"/>
      </patternFill>
    </fill>
    <fill>
      <patternFill patternType="solid">
        <fgColor rgb="FF5A4A9E"/>
        <bgColor rgb="FF333399"/>
      </patternFill>
    </fill>
    <fill>
      <patternFill patternType="solid">
        <fgColor rgb="FFDDD5F5"/>
        <bgColor rgb="FFCCCCCC"/>
      </patternFill>
    </fill>
    <fill>
      <patternFill patternType="solid">
        <fgColor rgb="FFEEF3FF"/>
        <bgColor rgb="FFF2F2F2"/>
      </patternFill>
    </fill>
    <fill>
      <patternFill patternType="solid">
        <fgColor rgb="FFFFD6C0"/>
        <bgColor rgb="FFFCECEA"/>
      </patternFill>
    </fill>
    <fill>
      <patternFill patternType="solid">
        <fgColor rgb="FFB8EAD8"/>
        <bgColor rgb="FFC0EAD8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7" fillId="17" borderId="0" xfId="0" applyFont="1" applyFill="1" applyAlignment="1">
      <alignment horizontal="center" vertical="center" wrapText="1"/>
    </xf>
    <xf numFmtId="0" fontId="4" fillId="17" borderId="0" xfId="0" applyFont="1" applyFill="1" applyAlignment="1">
      <alignment horizontal="center" vertical="center" wrapText="1"/>
    </xf>
    <xf numFmtId="0" fontId="22" fillId="7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26" fillId="17" borderId="2" xfId="0" applyFont="1" applyFill="1" applyBorder="1" applyAlignment="1">
      <alignment horizontal="center" vertical="center" wrapText="1"/>
    </xf>
    <xf numFmtId="0" fontId="4" fillId="15" borderId="0" xfId="0" applyFont="1" applyFill="1" applyAlignment="1">
      <alignment horizontal="center" vertical="center" wrapText="1"/>
    </xf>
    <xf numFmtId="0" fontId="22" fillId="14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left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left" vertical="center" wrapText="1"/>
    </xf>
    <xf numFmtId="0" fontId="17" fillId="13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21" fillId="14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176" fontId="24" fillId="15" borderId="1" xfId="0" applyNumberFormat="1" applyFont="1" applyFill="1" applyBorder="1" applyAlignment="1">
      <alignment horizontal="center" vertical="center" wrapText="1"/>
    </xf>
    <xf numFmtId="177" fontId="25" fillId="16" borderId="1" xfId="0" applyNumberFormat="1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left" vertical="center" wrapText="1"/>
    </xf>
    <xf numFmtId="177" fontId="30" fillId="17" borderId="1" xfId="0" applyNumberFormat="1" applyFont="1" applyFill="1" applyBorder="1" applyAlignment="1">
      <alignment horizontal="center" vertical="center" wrapText="1"/>
    </xf>
    <xf numFmtId="177" fontId="30" fillId="18" borderId="1" xfId="0" applyNumberFormat="1" applyFont="1" applyFill="1" applyBorder="1" applyAlignment="1">
      <alignment horizontal="center" vertical="center" wrapText="1"/>
    </xf>
    <xf numFmtId="177" fontId="30" fillId="13" borderId="1" xfId="0" applyNumberFormat="1" applyFont="1" applyFill="1" applyBorder="1" applyAlignment="1">
      <alignment horizontal="center" vertical="center" wrapText="1"/>
    </xf>
    <xf numFmtId="0" fontId="31" fillId="15" borderId="1" xfId="0" applyFont="1" applyFill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left" vertical="center" wrapText="1"/>
    </xf>
    <xf numFmtId="0" fontId="32" fillId="0" borderId="0" xfId="0" applyFont="1"/>
    <xf numFmtId="0" fontId="33" fillId="0" borderId="0" xfId="0" applyFont="1"/>
    <xf numFmtId="0" fontId="28" fillId="3" borderId="1" xfId="0" applyFont="1" applyFill="1" applyBorder="1" applyAlignment="1">
      <alignment horizontal="center" vertical="center" wrapText="1"/>
    </xf>
    <xf numFmtId="178" fontId="25" fillId="16" borderId="1" xfId="0" applyNumberFormat="1" applyFont="1" applyFill="1" applyBorder="1" applyAlignment="1">
      <alignment horizontal="center" vertical="center" wrapText="1"/>
    </xf>
    <xf numFmtId="2" fontId="34" fillId="17" borderId="1" xfId="0" applyNumberFormat="1" applyFont="1" applyFill="1" applyBorder="1" applyAlignment="1">
      <alignment horizontal="center" vertical="center" wrapText="1"/>
    </xf>
    <xf numFmtId="0" fontId="17" fillId="17" borderId="1" xfId="0" applyFont="1" applyFill="1" applyBorder="1" applyAlignment="1">
      <alignment horizontal="left" vertical="center" wrapText="1"/>
    </xf>
    <xf numFmtId="0" fontId="35" fillId="13" borderId="1" xfId="0" applyFont="1" applyFill="1" applyBorder="1" applyAlignment="1">
      <alignment horizontal="left" vertical="center" wrapText="1"/>
    </xf>
    <xf numFmtId="0" fontId="29" fillId="3" borderId="1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left" vertical="center" wrapText="1"/>
    </xf>
    <xf numFmtId="0" fontId="17" fillId="12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7A60"/>
      <rgbColor rgb="FFCCCCCC"/>
      <rgbColor rgb="FF888888"/>
      <rgbColor rgb="FF9999FF"/>
      <rgbColor rgb="FFB85A2A"/>
      <rgbColor rgb="FFF8FBF9"/>
      <rgbColor rgb="FFEEF3FF"/>
      <rgbColor rgb="FF660066"/>
      <rgbColor rgb="FFFF8080"/>
      <rgbColor rgb="FF2A6FA8"/>
      <rgbColor rgb="FFDD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0EAD8"/>
      <rgbColor rgb="FFD0EDE3"/>
      <rgbColor rgb="FFFCECEA"/>
      <rgbColor rgb="FFB8EAD8"/>
      <rgbColor rgb="FFF2F2F2"/>
      <rgbColor rgb="FFCC99FF"/>
      <rgbColor rgb="FFFFD6C0"/>
      <rgbColor rgb="FF3366FF"/>
      <rgbColor rgb="FF33CCCC"/>
      <rgbColor rgb="FF99CC00"/>
      <rgbColor rgb="FFFFCC00"/>
      <rgbColor rgb="FFFF9900"/>
      <rgbColor rgb="FFFF6600"/>
      <rgbColor rgb="FF5A4A9E"/>
      <rgbColor rgb="FF969696"/>
      <rgbColor rgb="FF003366"/>
      <rgbColor rgb="FF1E8A6E"/>
      <rgbColor rgb="FF003300"/>
      <rgbColor rgb="FF333300"/>
      <rgbColor rgb="FFD04020"/>
      <rgbColor rgb="FF993366"/>
      <rgbColor rgb="FF333399"/>
      <rgbColor rgb="FF1E3A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4"/>
  <sheetViews>
    <sheetView tabSelected="1" zoomScaleNormal="100" workbookViewId="0">
      <pane ySplit="4" topLeftCell="A5" activePane="bottomLeft" state="frozen"/>
      <selection pane="bottomLeft" activeCell="A5" sqref="A5"/>
    </sheetView>
  </sheetViews>
  <sheetFormatPr defaultColWidth="8.7109375" defaultRowHeight="15"/>
  <cols>
    <col min="1" max="1" width="10" customWidth="1"/>
    <col min="2" max="2" width="14" customWidth="1"/>
    <col min="3" max="3" width="12" customWidth="1"/>
    <col min="4" max="4" width="10" customWidth="1"/>
    <col min="5" max="5" width="14" customWidth="1"/>
    <col min="6" max="7" width="12" customWidth="1"/>
    <col min="8" max="8" width="14" customWidth="1"/>
  </cols>
  <sheetData>
    <row r="1" spans="1:8" ht="31.5" customHeight="1">
      <c r="A1" s="10" t="s">
        <v>0</v>
      </c>
      <c r="B1" s="10"/>
      <c r="C1" s="10"/>
      <c r="D1" s="10"/>
      <c r="E1" s="10"/>
      <c r="F1" s="10"/>
      <c r="G1" s="10"/>
      <c r="H1" s="10"/>
    </row>
    <row r="2" spans="1:8" ht="19.5" customHeight="1">
      <c r="A2" s="9" t="s">
        <v>1</v>
      </c>
      <c r="B2" s="9"/>
      <c r="C2" s="9"/>
      <c r="D2" s="9"/>
      <c r="E2" s="9"/>
      <c r="F2" s="9"/>
      <c r="G2" s="9"/>
      <c r="H2" s="9"/>
    </row>
    <row r="3" spans="1:8" ht="24" customHeight="1">
      <c r="A3" s="11" t="s">
        <v>2</v>
      </c>
      <c r="B3" s="12" t="s">
        <v>3</v>
      </c>
      <c r="C3" s="13" t="s">
        <v>4</v>
      </c>
      <c r="D3" s="13" t="s">
        <v>5</v>
      </c>
      <c r="E3" s="14" t="s">
        <v>6</v>
      </c>
      <c r="F3" s="15" t="s">
        <v>7</v>
      </c>
      <c r="G3" s="14" t="s">
        <v>8</v>
      </c>
      <c r="H3" s="16" t="s">
        <v>9</v>
      </c>
    </row>
    <row r="4" spans="1:8" ht="27.75" customHeight="1">
      <c r="A4" s="17" t="s">
        <v>10</v>
      </c>
      <c r="B4" s="18" t="s">
        <v>11</v>
      </c>
      <c r="C4" s="19" t="s">
        <v>12</v>
      </c>
      <c r="D4" s="19" t="s">
        <v>13</v>
      </c>
      <c r="E4" s="20" t="s">
        <v>14</v>
      </c>
      <c r="F4" s="21" t="s">
        <v>15</v>
      </c>
      <c r="G4" s="22" t="s">
        <v>16</v>
      </c>
      <c r="H4" s="23" t="s">
        <v>17</v>
      </c>
    </row>
    <row r="5" spans="1:8">
      <c r="A5" s="24">
        <v>60</v>
      </c>
      <c r="B5" s="24">
        <v>35.9</v>
      </c>
      <c r="C5" s="24">
        <v>132</v>
      </c>
      <c r="D5" s="24">
        <v>88</v>
      </c>
      <c r="E5" s="24">
        <v>0.7</v>
      </c>
      <c r="F5" s="25" t="s">
        <v>18</v>
      </c>
      <c r="G5" s="24">
        <v>151.69999999999999</v>
      </c>
      <c r="H5" s="26">
        <v>1</v>
      </c>
    </row>
    <row r="6" spans="1:8">
      <c r="A6" s="27">
        <v>22</v>
      </c>
      <c r="B6" s="27"/>
      <c r="C6" s="27">
        <v>125</v>
      </c>
      <c r="D6" s="27">
        <v>89</v>
      </c>
      <c r="E6" s="27">
        <v>0.2</v>
      </c>
      <c r="F6" s="28" t="s">
        <v>19</v>
      </c>
      <c r="G6" s="27">
        <v>181.8</v>
      </c>
      <c r="H6" s="27">
        <v>0</v>
      </c>
    </row>
    <row r="7" spans="1:8">
      <c r="A7" s="24">
        <v>64</v>
      </c>
      <c r="B7" s="24">
        <v>23.7</v>
      </c>
      <c r="C7" s="24">
        <v>141</v>
      </c>
      <c r="D7" s="24">
        <v>60</v>
      </c>
      <c r="E7" s="24">
        <v>1.1000000000000001</v>
      </c>
      <c r="F7" s="25" t="s">
        <v>19</v>
      </c>
      <c r="G7" s="24">
        <v>91.7</v>
      </c>
      <c r="H7" s="26">
        <v>1</v>
      </c>
    </row>
    <row r="8" spans="1:8">
      <c r="A8" s="27">
        <v>29</v>
      </c>
      <c r="B8" s="27">
        <v>36.4</v>
      </c>
      <c r="C8" s="27">
        <v>96</v>
      </c>
      <c r="D8" s="27">
        <v>71</v>
      </c>
      <c r="E8" s="27">
        <v>2.5</v>
      </c>
      <c r="F8" s="28" t="s">
        <v>19</v>
      </c>
      <c r="G8" s="27">
        <v>154.9</v>
      </c>
      <c r="H8" s="27">
        <v>0</v>
      </c>
    </row>
    <row r="9" spans="1:8">
      <c r="A9" s="24">
        <v>71</v>
      </c>
      <c r="B9" s="24"/>
      <c r="C9" s="24">
        <v>187</v>
      </c>
      <c r="D9" s="24">
        <v>128</v>
      </c>
      <c r="E9" s="24">
        <v>6.5</v>
      </c>
      <c r="F9" s="25" t="s">
        <v>18</v>
      </c>
      <c r="G9" s="24">
        <v>142.5</v>
      </c>
      <c r="H9" s="26">
        <v>1</v>
      </c>
    </row>
    <row r="10" spans="1:8">
      <c r="A10" s="27">
        <v>73</v>
      </c>
      <c r="B10" s="27">
        <v>39.299999999999997</v>
      </c>
      <c r="C10" s="27">
        <v>162</v>
      </c>
      <c r="D10" s="27">
        <v>84</v>
      </c>
      <c r="E10" s="27">
        <v>0.3</v>
      </c>
      <c r="F10" s="28" t="s">
        <v>19</v>
      </c>
      <c r="G10" s="27">
        <v>195.5</v>
      </c>
      <c r="H10" s="26">
        <v>1</v>
      </c>
    </row>
    <row r="11" spans="1:8">
      <c r="A11" s="24">
        <v>25</v>
      </c>
      <c r="B11" s="24">
        <v>38.9</v>
      </c>
      <c r="C11" s="24">
        <v>167</v>
      </c>
      <c r="D11" s="24">
        <v>95</v>
      </c>
      <c r="E11" s="24">
        <v>5.8</v>
      </c>
      <c r="F11" s="25" t="s">
        <v>19</v>
      </c>
      <c r="G11" s="24">
        <v>98.8</v>
      </c>
      <c r="H11" s="26">
        <v>1</v>
      </c>
    </row>
    <row r="12" spans="1:8">
      <c r="A12" s="27">
        <v>33</v>
      </c>
      <c r="B12" s="27">
        <v>35</v>
      </c>
      <c r="C12" s="27">
        <v>88</v>
      </c>
      <c r="D12" s="27">
        <v>81</v>
      </c>
      <c r="E12" s="27">
        <v>1.7</v>
      </c>
      <c r="F12" s="28" t="s">
        <v>19</v>
      </c>
      <c r="G12" s="27">
        <v>101.1</v>
      </c>
      <c r="H12" s="27">
        <v>0</v>
      </c>
    </row>
    <row r="13" spans="1:8">
      <c r="A13" s="24">
        <v>60</v>
      </c>
      <c r="B13" s="24">
        <v>23.7</v>
      </c>
      <c r="C13" s="24">
        <v>153</v>
      </c>
      <c r="D13" s="24">
        <v>67</v>
      </c>
      <c r="E13" s="24">
        <v>0.2</v>
      </c>
      <c r="F13" s="25" t="s">
        <v>19</v>
      </c>
      <c r="G13" s="24">
        <v>106.3</v>
      </c>
      <c r="H13" s="26">
        <v>1</v>
      </c>
    </row>
    <row r="14" spans="1:8">
      <c r="A14" s="27">
        <v>24</v>
      </c>
      <c r="B14" s="27">
        <v>40.700000000000003</v>
      </c>
      <c r="C14" s="27">
        <v>150</v>
      </c>
      <c r="D14" s="27">
        <v>87</v>
      </c>
      <c r="E14" s="27">
        <v>2.8</v>
      </c>
      <c r="F14" s="28" t="s">
        <v>19</v>
      </c>
      <c r="G14" s="27">
        <v>44.3</v>
      </c>
      <c r="H14" s="26">
        <v>1</v>
      </c>
    </row>
    <row r="15" spans="1:8">
      <c r="A15" s="24">
        <v>28</v>
      </c>
      <c r="B15" s="24">
        <v>31.7</v>
      </c>
      <c r="C15" s="24">
        <v>137</v>
      </c>
      <c r="D15" s="24">
        <v>114</v>
      </c>
      <c r="E15" s="24">
        <v>2.8</v>
      </c>
      <c r="F15" s="25" t="s">
        <v>19</v>
      </c>
      <c r="G15" s="24">
        <v>249.4</v>
      </c>
      <c r="H15" s="26">
        <v>1</v>
      </c>
    </row>
    <row r="16" spans="1:8">
      <c r="A16" s="27">
        <v>28</v>
      </c>
      <c r="B16" s="27">
        <v>20.6</v>
      </c>
      <c r="C16" s="27">
        <v>82</v>
      </c>
      <c r="D16" s="27">
        <v>74</v>
      </c>
      <c r="E16" s="27">
        <v>1.1000000000000001</v>
      </c>
      <c r="F16" s="28" t="s">
        <v>19</v>
      </c>
      <c r="G16" s="27">
        <v>153.1</v>
      </c>
      <c r="H16" s="27">
        <v>0</v>
      </c>
    </row>
    <row r="17" spans="1:8">
      <c r="A17" s="24">
        <v>44</v>
      </c>
      <c r="B17" s="24">
        <v>41.9</v>
      </c>
      <c r="C17" s="24">
        <v>134</v>
      </c>
      <c r="D17" s="24">
        <v>130</v>
      </c>
      <c r="E17" s="24">
        <v>0.1</v>
      </c>
      <c r="F17" s="25" t="s">
        <v>18</v>
      </c>
      <c r="G17" s="24">
        <v>173.6</v>
      </c>
      <c r="H17" s="26">
        <v>1</v>
      </c>
    </row>
    <row r="18" spans="1:8">
      <c r="A18" s="27">
        <v>54</v>
      </c>
      <c r="B18" s="27">
        <v>36.6</v>
      </c>
      <c r="C18" s="27">
        <v>157</v>
      </c>
      <c r="D18" s="27">
        <v>74</v>
      </c>
      <c r="E18" s="27">
        <v>1.1000000000000001</v>
      </c>
      <c r="F18" s="28" t="s">
        <v>18</v>
      </c>
      <c r="G18" s="27">
        <v>238.9</v>
      </c>
      <c r="H18" s="26">
        <v>1</v>
      </c>
    </row>
    <row r="19" spans="1:8">
      <c r="A19" s="24">
        <v>76</v>
      </c>
      <c r="B19" s="24">
        <v>41.3</v>
      </c>
      <c r="C19" s="24">
        <v>115</v>
      </c>
      <c r="D19" s="24">
        <v>124</v>
      </c>
      <c r="E19" s="24">
        <v>6.1</v>
      </c>
      <c r="F19" s="25" t="s">
        <v>19</v>
      </c>
      <c r="G19" s="24">
        <v>212</v>
      </c>
      <c r="H19" s="26">
        <v>1</v>
      </c>
    </row>
    <row r="20" spans="1:8">
      <c r="A20" s="27">
        <v>52</v>
      </c>
      <c r="B20" s="27">
        <v>22.1</v>
      </c>
      <c r="C20" s="27">
        <v>111</v>
      </c>
      <c r="D20" s="27">
        <v>129</v>
      </c>
      <c r="E20" s="27">
        <v>6.5</v>
      </c>
      <c r="F20" s="28" t="s">
        <v>18</v>
      </c>
      <c r="G20" s="27">
        <v>153.69999999999999</v>
      </c>
      <c r="H20" s="26">
        <v>1</v>
      </c>
    </row>
    <row r="21" spans="1:8">
      <c r="A21" s="24">
        <v>51</v>
      </c>
      <c r="B21" s="24"/>
      <c r="C21" s="24">
        <v>162</v>
      </c>
      <c r="D21" s="24">
        <v>99</v>
      </c>
      <c r="E21" s="24">
        <v>1.7</v>
      </c>
      <c r="F21" s="25" t="s">
        <v>18</v>
      </c>
      <c r="G21" s="24">
        <v>30.6</v>
      </c>
      <c r="H21" s="26">
        <v>1</v>
      </c>
    </row>
    <row r="22" spans="1:8">
      <c r="A22" s="27">
        <v>51</v>
      </c>
      <c r="B22" s="27">
        <v>41.5</v>
      </c>
      <c r="C22" s="27">
        <v>102</v>
      </c>
      <c r="D22" s="27">
        <v>76</v>
      </c>
      <c r="E22" s="27">
        <v>6.6</v>
      </c>
      <c r="F22" s="28" t="s">
        <v>19</v>
      </c>
      <c r="G22" s="27">
        <v>73.599999999999994</v>
      </c>
      <c r="H22" s="26">
        <v>1</v>
      </c>
    </row>
    <row r="23" spans="1:8">
      <c r="A23" s="24">
        <v>75</v>
      </c>
      <c r="B23" s="24">
        <v>41.2</v>
      </c>
      <c r="C23" s="24">
        <v>121</v>
      </c>
      <c r="D23" s="24">
        <v>99</v>
      </c>
      <c r="E23" s="24">
        <v>4.7</v>
      </c>
      <c r="F23" s="25" t="s">
        <v>19</v>
      </c>
      <c r="G23" s="24">
        <v>115.1</v>
      </c>
      <c r="H23" s="26">
        <v>1</v>
      </c>
    </row>
    <row r="24" spans="1:8">
      <c r="A24" s="27">
        <v>53</v>
      </c>
      <c r="B24" s="27">
        <v>24.3</v>
      </c>
      <c r="C24" s="27">
        <v>86</v>
      </c>
      <c r="D24" s="27">
        <v>103</v>
      </c>
      <c r="E24" s="27"/>
      <c r="F24" s="28" t="s">
        <v>19</v>
      </c>
      <c r="G24" s="27">
        <v>151.19999999999999</v>
      </c>
      <c r="H24" s="27">
        <v>0</v>
      </c>
    </row>
    <row r="25" spans="1:8">
      <c r="A25" s="24">
        <v>20</v>
      </c>
      <c r="B25" s="24"/>
      <c r="C25" s="24">
        <v>85</v>
      </c>
      <c r="D25" s="24">
        <v>89</v>
      </c>
      <c r="E25" s="24"/>
      <c r="F25" s="25" t="s">
        <v>18</v>
      </c>
      <c r="G25" s="24">
        <v>216.3</v>
      </c>
      <c r="H25" s="24">
        <v>0</v>
      </c>
    </row>
    <row r="26" spans="1:8">
      <c r="A26" s="27">
        <v>24</v>
      </c>
      <c r="B26" s="27">
        <v>25</v>
      </c>
      <c r="C26" s="27">
        <v>194</v>
      </c>
      <c r="D26" s="27">
        <v>87</v>
      </c>
      <c r="E26" s="27">
        <v>5.0999999999999996</v>
      </c>
      <c r="F26" s="28" t="s">
        <v>19</v>
      </c>
      <c r="G26" s="27">
        <v>68.3</v>
      </c>
      <c r="H26" s="26">
        <v>1</v>
      </c>
    </row>
    <row r="27" spans="1:8">
      <c r="A27" s="24">
        <v>50</v>
      </c>
      <c r="B27" s="24">
        <v>23</v>
      </c>
      <c r="C27" s="24">
        <v>94</v>
      </c>
      <c r="D27" s="24">
        <v>115</v>
      </c>
      <c r="E27" s="24">
        <v>2.9</v>
      </c>
      <c r="F27" s="25" t="s">
        <v>18</v>
      </c>
      <c r="G27" s="24">
        <v>171.6</v>
      </c>
      <c r="H27" s="24">
        <v>0</v>
      </c>
    </row>
    <row r="28" spans="1:8">
      <c r="A28" s="27">
        <v>61</v>
      </c>
      <c r="B28" s="27">
        <v>28</v>
      </c>
      <c r="C28" s="27">
        <v>156</v>
      </c>
      <c r="D28" s="27">
        <v>73</v>
      </c>
      <c r="E28" s="27">
        <v>1.3</v>
      </c>
      <c r="F28" s="28" t="s">
        <v>19</v>
      </c>
      <c r="G28" s="27">
        <v>43.6</v>
      </c>
      <c r="H28" s="26">
        <v>1</v>
      </c>
    </row>
    <row r="29" spans="1:8">
      <c r="A29" s="24">
        <v>31</v>
      </c>
      <c r="B29" s="24">
        <v>24.4</v>
      </c>
      <c r="C29" s="24">
        <v>89</v>
      </c>
      <c r="D29" s="24">
        <v>116</v>
      </c>
      <c r="E29" s="24">
        <v>6</v>
      </c>
      <c r="F29" s="25" t="s">
        <v>18</v>
      </c>
      <c r="G29" s="24">
        <v>22.1</v>
      </c>
      <c r="H29" s="24">
        <v>0</v>
      </c>
    </row>
    <row r="30" spans="1:8">
      <c r="A30" s="27">
        <v>54</v>
      </c>
      <c r="B30" s="27">
        <v>41.3</v>
      </c>
      <c r="C30" s="27">
        <v>130</v>
      </c>
      <c r="D30" s="27">
        <v>81</v>
      </c>
      <c r="E30" s="27">
        <v>3.4</v>
      </c>
      <c r="F30" s="28" t="s">
        <v>19</v>
      </c>
      <c r="G30" s="27">
        <v>226.6</v>
      </c>
      <c r="H30" s="26">
        <v>1</v>
      </c>
    </row>
    <row r="31" spans="1:8">
      <c r="A31" s="24">
        <v>30</v>
      </c>
      <c r="B31" s="24">
        <v>41.7</v>
      </c>
      <c r="C31" s="24">
        <v>137</v>
      </c>
      <c r="D31" s="24">
        <v>118</v>
      </c>
      <c r="E31" s="24">
        <v>4.9000000000000004</v>
      </c>
      <c r="F31" s="25" t="s">
        <v>19</v>
      </c>
      <c r="G31" s="24">
        <v>47.2</v>
      </c>
      <c r="H31" s="26">
        <v>1</v>
      </c>
    </row>
    <row r="32" spans="1:8">
      <c r="A32" s="27">
        <v>38</v>
      </c>
      <c r="B32" s="27">
        <v>19.899999999999999</v>
      </c>
      <c r="C32" s="27">
        <v>85</v>
      </c>
      <c r="D32" s="27">
        <v>100</v>
      </c>
      <c r="E32" s="27"/>
      <c r="F32" s="28" t="s">
        <v>19</v>
      </c>
      <c r="G32" s="27">
        <v>130.69999999999999</v>
      </c>
      <c r="H32" s="27">
        <v>0</v>
      </c>
    </row>
    <row r="33" spans="1:8">
      <c r="A33" s="24">
        <v>74</v>
      </c>
      <c r="B33" s="24">
        <v>19.8</v>
      </c>
      <c r="C33" s="24">
        <v>200</v>
      </c>
      <c r="D33" s="24">
        <v>70</v>
      </c>
      <c r="E33" s="24">
        <v>0.5</v>
      </c>
      <c r="F33" s="25" t="s">
        <v>18</v>
      </c>
      <c r="G33" s="24">
        <v>172.1</v>
      </c>
      <c r="H33" s="26">
        <v>1</v>
      </c>
    </row>
    <row r="34" spans="1:8">
      <c r="A34" s="27">
        <v>35</v>
      </c>
      <c r="B34" s="27">
        <v>40.6</v>
      </c>
      <c r="C34" s="27">
        <v>133</v>
      </c>
      <c r="D34" s="27">
        <v>65</v>
      </c>
      <c r="E34" s="27">
        <v>2.9</v>
      </c>
      <c r="F34" s="28" t="s">
        <v>19</v>
      </c>
      <c r="G34" s="27">
        <v>234.3</v>
      </c>
      <c r="H34" s="26">
        <v>1</v>
      </c>
    </row>
    <row r="35" spans="1:8">
      <c r="A35" s="24">
        <v>33</v>
      </c>
      <c r="B35" s="24">
        <v>25.9</v>
      </c>
      <c r="C35" s="24">
        <v>137</v>
      </c>
      <c r="D35" s="24">
        <v>110</v>
      </c>
      <c r="E35" s="24">
        <v>4.5</v>
      </c>
      <c r="F35" s="25" t="s">
        <v>19</v>
      </c>
      <c r="G35" s="24">
        <v>85.9</v>
      </c>
      <c r="H35" s="26">
        <v>1</v>
      </c>
    </row>
    <row r="36" spans="1:8">
      <c r="A36" s="27">
        <v>68</v>
      </c>
      <c r="B36" s="27">
        <v>18.7</v>
      </c>
      <c r="C36" s="27">
        <v>95</v>
      </c>
      <c r="D36" s="27">
        <v>69</v>
      </c>
      <c r="E36" s="27">
        <v>3.5</v>
      </c>
      <c r="F36" s="28" t="s">
        <v>19</v>
      </c>
      <c r="G36" s="27">
        <v>234</v>
      </c>
      <c r="H36" s="27">
        <v>0</v>
      </c>
    </row>
    <row r="37" spans="1:8">
      <c r="A37" s="24">
        <v>76</v>
      </c>
      <c r="B37" s="24"/>
      <c r="C37" s="24">
        <v>132</v>
      </c>
      <c r="D37" s="24">
        <v>107</v>
      </c>
      <c r="E37" s="24">
        <v>3.1</v>
      </c>
      <c r="F37" s="25" t="s">
        <v>19</v>
      </c>
      <c r="G37" s="24">
        <v>156.80000000000001</v>
      </c>
      <c r="H37" s="26">
        <v>1</v>
      </c>
    </row>
    <row r="38" spans="1:8">
      <c r="A38" s="27">
        <v>71</v>
      </c>
      <c r="B38" s="27">
        <v>18.7</v>
      </c>
      <c r="C38" s="27">
        <v>146</v>
      </c>
      <c r="D38" s="27">
        <v>73</v>
      </c>
      <c r="E38" s="27">
        <v>0.9</v>
      </c>
      <c r="F38" s="28" t="s">
        <v>18</v>
      </c>
      <c r="G38" s="27">
        <v>223.5</v>
      </c>
      <c r="H38" s="26">
        <v>1</v>
      </c>
    </row>
    <row r="39" spans="1:8">
      <c r="A39" s="24">
        <v>67</v>
      </c>
      <c r="B39" s="24">
        <v>24.9</v>
      </c>
      <c r="C39" s="24">
        <v>123</v>
      </c>
      <c r="D39" s="24">
        <v>103</v>
      </c>
      <c r="E39" s="24">
        <v>4.4000000000000004</v>
      </c>
      <c r="F39" s="25" t="s">
        <v>19</v>
      </c>
      <c r="G39" s="24">
        <v>131.30000000000001</v>
      </c>
      <c r="H39" s="24">
        <v>0</v>
      </c>
    </row>
    <row r="40" spans="1:8">
      <c r="A40" s="27">
        <v>36</v>
      </c>
      <c r="B40" s="27">
        <v>38.4</v>
      </c>
      <c r="C40" s="27">
        <v>93</v>
      </c>
      <c r="D40" s="27">
        <v>114</v>
      </c>
      <c r="E40" s="27">
        <v>0.3</v>
      </c>
      <c r="F40" s="28" t="s">
        <v>19</v>
      </c>
      <c r="G40" s="27">
        <v>195.1</v>
      </c>
      <c r="H40" s="27">
        <v>0</v>
      </c>
    </row>
    <row r="41" spans="1:8">
      <c r="A41" s="24">
        <v>60</v>
      </c>
      <c r="B41" s="24">
        <v>22.3</v>
      </c>
      <c r="C41" s="24">
        <v>183</v>
      </c>
      <c r="D41" s="24">
        <v>130</v>
      </c>
      <c r="E41" s="24">
        <v>3.9</v>
      </c>
      <c r="F41" s="25" t="s">
        <v>18</v>
      </c>
      <c r="G41" s="24">
        <v>28.1</v>
      </c>
      <c r="H41" s="26">
        <v>1</v>
      </c>
    </row>
    <row r="42" spans="1:8">
      <c r="A42" s="27">
        <v>76</v>
      </c>
      <c r="B42" s="27">
        <v>22</v>
      </c>
      <c r="C42" s="27">
        <v>79</v>
      </c>
      <c r="D42" s="27">
        <v>107</v>
      </c>
      <c r="E42" s="27">
        <v>1</v>
      </c>
      <c r="F42" s="28" t="s">
        <v>19</v>
      </c>
      <c r="G42" s="27">
        <v>20</v>
      </c>
      <c r="H42" s="27">
        <v>0</v>
      </c>
    </row>
    <row r="43" spans="1:8">
      <c r="A43" s="24">
        <v>43</v>
      </c>
      <c r="B43" s="24">
        <v>37.200000000000003</v>
      </c>
      <c r="C43" s="24">
        <v>80</v>
      </c>
      <c r="D43" s="24">
        <v>105</v>
      </c>
      <c r="E43" s="24">
        <v>1.7</v>
      </c>
      <c r="F43" s="25" t="s">
        <v>18</v>
      </c>
      <c r="G43" s="24">
        <v>94.9</v>
      </c>
      <c r="H43" s="26">
        <v>1</v>
      </c>
    </row>
    <row r="44" spans="1:8">
      <c r="A44" s="27">
        <v>55</v>
      </c>
      <c r="B44" s="27">
        <v>28</v>
      </c>
      <c r="C44" s="27">
        <v>109</v>
      </c>
      <c r="D44" s="27">
        <v>90</v>
      </c>
      <c r="E44" s="27">
        <v>6.8</v>
      </c>
      <c r="F44" s="28" t="s">
        <v>19</v>
      </c>
      <c r="G44" s="27">
        <v>221.5</v>
      </c>
      <c r="H44" s="27">
        <v>0</v>
      </c>
    </row>
    <row r="45" spans="1:8">
      <c r="A45" s="24">
        <v>21</v>
      </c>
      <c r="B45" s="24">
        <v>40.200000000000003</v>
      </c>
      <c r="C45" s="24">
        <v>175</v>
      </c>
      <c r="D45" s="24">
        <v>91</v>
      </c>
      <c r="E45" s="24">
        <v>5.5</v>
      </c>
      <c r="F45" s="25" t="s">
        <v>18</v>
      </c>
      <c r="G45" s="24">
        <v>101.8</v>
      </c>
      <c r="H45" s="26">
        <v>1</v>
      </c>
    </row>
    <row r="46" spans="1:8">
      <c r="A46" s="27">
        <v>22</v>
      </c>
      <c r="B46" s="27">
        <v>23.7</v>
      </c>
      <c r="C46" s="27">
        <v>187</v>
      </c>
      <c r="D46" s="27">
        <v>104</v>
      </c>
      <c r="E46" s="27">
        <v>5.6</v>
      </c>
      <c r="F46" s="28" t="s">
        <v>19</v>
      </c>
      <c r="G46" s="27">
        <v>63.5</v>
      </c>
      <c r="H46" s="27">
        <v>0</v>
      </c>
    </row>
    <row r="47" spans="1:8">
      <c r="A47" s="24">
        <v>62</v>
      </c>
      <c r="B47" s="24">
        <v>26.2</v>
      </c>
      <c r="C47" s="24">
        <v>87</v>
      </c>
      <c r="D47" s="24">
        <v>95</v>
      </c>
      <c r="E47" s="24">
        <v>3.6</v>
      </c>
      <c r="F47" s="25" t="s">
        <v>19</v>
      </c>
      <c r="G47" s="24">
        <v>235.4</v>
      </c>
      <c r="H47" s="24">
        <v>0</v>
      </c>
    </row>
    <row r="48" spans="1:8">
      <c r="A48" s="27">
        <v>27</v>
      </c>
      <c r="B48" s="27">
        <v>24.6</v>
      </c>
      <c r="C48" s="27">
        <v>137</v>
      </c>
      <c r="D48" s="27">
        <v>64</v>
      </c>
      <c r="E48" s="27">
        <v>3</v>
      </c>
      <c r="F48" s="28" t="s">
        <v>19</v>
      </c>
      <c r="G48" s="27">
        <v>114.7</v>
      </c>
      <c r="H48" s="27">
        <v>0</v>
      </c>
    </row>
    <row r="49" spans="1:8">
      <c r="A49" s="24">
        <v>52</v>
      </c>
      <c r="B49" s="24">
        <v>39.6</v>
      </c>
      <c r="C49" s="24">
        <v>118</v>
      </c>
      <c r="D49" s="24">
        <v>92</v>
      </c>
      <c r="E49" s="24"/>
      <c r="F49" s="25" t="s">
        <v>19</v>
      </c>
      <c r="G49" s="24">
        <v>10.4</v>
      </c>
      <c r="H49" s="26">
        <v>1</v>
      </c>
    </row>
    <row r="50" spans="1:8">
      <c r="A50" s="27">
        <v>71</v>
      </c>
      <c r="B50" s="27">
        <v>35.4</v>
      </c>
      <c r="C50" s="27">
        <v>120</v>
      </c>
      <c r="D50" s="27">
        <v>106</v>
      </c>
      <c r="E50" s="27">
        <v>6.6</v>
      </c>
      <c r="F50" s="28" t="s">
        <v>19</v>
      </c>
      <c r="G50" s="27">
        <v>159.6</v>
      </c>
      <c r="H50" s="26">
        <v>1</v>
      </c>
    </row>
    <row r="51" spans="1:8">
      <c r="A51" s="24">
        <v>62</v>
      </c>
      <c r="B51" s="24">
        <v>35.4</v>
      </c>
      <c r="C51" s="24">
        <v>146</v>
      </c>
      <c r="D51" s="24">
        <v>124</v>
      </c>
      <c r="E51" s="24">
        <v>2.9</v>
      </c>
      <c r="F51" s="25" t="s">
        <v>19</v>
      </c>
      <c r="G51" s="24">
        <v>177.3</v>
      </c>
      <c r="H51" s="26">
        <v>1</v>
      </c>
    </row>
    <row r="52" spans="1:8">
      <c r="A52" s="27">
        <v>55</v>
      </c>
      <c r="B52" s="27">
        <v>28.4</v>
      </c>
      <c r="C52" s="27">
        <v>167</v>
      </c>
      <c r="D52" s="27">
        <v>82</v>
      </c>
      <c r="E52" s="27">
        <v>2.1</v>
      </c>
      <c r="F52" s="28" t="s">
        <v>18</v>
      </c>
      <c r="G52" s="27">
        <v>82.9</v>
      </c>
      <c r="H52" s="26">
        <v>1</v>
      </c>
    </row>
    <row r="53" spans="1:8">
      <c r="A53" s="24">
        <v>33</v>
      </c>
      <c r="B53" s="24">
        <v>32.1</v>
      </c>
      <c r="C53" s="24">
        <v>152</v>
      </c>
      <c r="D53" s="24">
        <v>119</v>
      </c>
      <c r="E53" s="24">
        <v>4.7</v>
      </c>
      <c r="F53" s="25" t="s">
        <v>19</v>
      </c>
      <c r="G53" s="24">
        <v>200.5</v>
      </c>
      <c r="H53" s="26">
        <v>1</v>
      </c>
    </row>
    <row r="54" spans="1:8">
      <c r="A54" s="27">
        <v>70</v>
      </c>
      <c r="B54" s="27">
        <v>34</v>
      </c>
      <c r="C54" s="27">
        <v>142</v>
      </c>
      <c r="D54" s="27">
        <v>125</v>
      </c>
      <c r="E54" s="27">
        <v>4.3</v>
      </c>
      <c r="F54" s="28" t="s">
        <v>18</v>
      </c>
      <c r="G54" s="27">
        <v>206.4</v>
      </c>
      <c r="H54" s="26">
        <v>1</v>
      </c>
    </row>
    <row r="55" spans="1:8">
      <c r="A55" s="24">
        <v>68</v>
      </c>
      <c r="B55" s="24">
        <v>25.8</v>
      </c>
      <c r="C55" s="24">
        <v>120</v>
      </c>
      <c r="D55" s="24">
        <v>78</v>
      </c>
      <c r="E55" s="24"/>
      <c r="F55" s="25" t="s">
        <v>19</v>
      </c>
      <c r="G55" s="24">
        <v>246.1</v>
      </c>
      <c r="H55" s="24">
        <v>0</v>
      </c>
    </row>
    <row r="56" spans="1:8">
      <c r="A56" s="27">
        <v>59</v>
      </c>
      <c r="B56" s="27">
        <v>20.2</v>
      </c>
      <c r="C56" s="27">
        <v>176</v>
      </c>
      <c r="D56" s="27">
        <v>84</v>
      </c>
      <c r="E56" s="27">
        <v>2.7</v>
      </c>
      <c r="F56" s="28" t="s">
        <v>19</v>
      </c>
      <c r="G56" s="27">
        <v>68.599999999999994</v>
      </c>
      <c r="H56" s="26">
        <v>1</v>
      </c>
    </row>
    <row r="57" spans="1:8">
      <c r="A57" s="24">
        <v>61</v>
      </c>
      <c r="B57" s="24">
        <v>39.5</v>
      </c>
      <c r="C57" s="24">
        <v>97</v>
      </c>
      <c r="D57" s="24">
        <v>114</v>
      </c>
      <c r="E57" s="24">
        <v>5.6</v>
      </c>
      <c r="F57" s="25" t="s">
        <v>19</v>
      </c>
      <c r="G57" s="24">
        <v>22.1</v>
      </c>
      <c r="H57" s="24">
        <v>0</v>
      </c>
    </row>
    <row r="58" spans="1:8">
      <c r="A58" s="27">
        <v>35</v>
      </c>
      <c r="B58" s="27">
        <v>21.4</v>
      </c>
      <c r="C58" s="27">
        <v>104</v>
      </c>
      <c r="D58" s="27">
        <v>119</v>
      </c>
      <c r="E58" s="27">
        <v>6.9</v>
      </c>
      <c r="F58" s="28" t="s">
        <v>19</v>
      </c>
      <c r="G58" s="27">
        <v>238</v>
      </c>
      <c r="H58" s="27">
        <v>0</v>
      </c>
    </row>
    <row r="59" spans="1:8">
      <c r="A59" s="24">
        <v>77</v>
      </c>
      <c r="B59" s="24">
        <v>37.700000000000003</v>
      </c>
      <c r="C59" s="24">
        <v>199</v>
      </c>
      <c r="D59" s="24">
        <v>114</v>
      </c>
      <c r="E59" s="24">
        <v>3.8</v>
      </c>
      <c r="F59" s="25" t="s">
        <v>19</v>
      </c>
      <c r="G59" s="24">
        <v>188.5</v>
      </c>
      <c r="H59" s="26">
        <v>1</v>
      </c>
    </row>
    <row r="60" spans="1:8">
      <c r="A60" s="27">
        <v>50</v>
      </c>
      <c r="B60" s="27">
        <v>36.200000000000003</v>
      </c>
      <c r="C60" s="27">
        <v>140</v>
      </c>
      <c r="D60" s="27">
        <v>126</v>
      </c>
      <c r="E60" s="27">
        <v>1.7</v>
      </c>
      <c r="F60" s="28" t="s">
        <v>19</v>
      </c>
      <c r="G60" s="27">
        <v>28.6</v>
      </c>
      <c r="H60" s="26">
        <v>1</v>
      </c>
    </row>
    <row r="61" spans="1:8">
      <c r="A61" s="24">
        <v>38</v>
      </c>
      <c r="B61" s="24">
        <v>26.4</v>
      </c>
      <c r="C61" s="24">
        <v>90</v>
      </c>
      <c r="D61" s="24">
        <v>77</v>
      </c>
      <c r="E61" s="24">
        <v>2.7</v>
      </c>
      <c r="F61" s="25" t="s">
        <v>19</v>
      </c>
      <c r="G61" s="24">
        <v>179.5</v>
      </c>
      <c r="H61" s="24">
        <v>0</v>
      </c>
    </row>
    <row r="62" spans="1:8">
      <c r="A62" s="27">
        <v>24</v>
      </c>
      <c r="B62" s="27">
        <v>26.3</v>
      </c>
      <c r="C62" s="27">
        <v>189</v>
      </c>
      <c r="D62" s="27">
        <v>113</v>
      </c>
      <c r="E62" s="27"/>
      <c r="F62" s="28" t="s">
        <v>19</v>
      </c>
      <c r="G62" s="27">
        <v>103.5</v>
      </c>
      <c r="H62" s="26">
        <v>1</v>
      </c>
    </row>
    <row r="63" spans="1:8">
      <c r="A63" s="24">
        <v>69</v>
      </c>
      <c r="B63" s="24">
        <v>34.799999999999997</v>
      </c>
      <c r="C63" s="24">
        <v>167</v>
      </c>
      <c r="D63" s="24">
        <v>121</v>
      </c>
      <c r="E63" s="24"/>
      <c r="F63" s="25" t="s">
        <v>19</v>
      </c>
      <c r="G63" s="24">
        <v>81.7</v>
      </c>
      <c r="H63" s="26">
        <v>1</v>
      </c>
    </row>
    <row r="64" spans="1:8">
      <c r="A64" s="27">
        <v>44</v>
      </c>
      <c r="B64" s="27">
        <v>40.9</v>
      </c>
      <c r="C64" s="27">
        <v>177</v>
      </c>
      <c r="D64" s="27">
        <v>128</v>
      </c>
      <c r="E64" s="27">
        <v>3.8</v>
      </c>
      <c r="F64" s="28" t="s">
        <v>19</v>
      </c>
      <c r="G64" s="27">
        <v>127.2</v>
      </c>
      <c r="H64" s="26">
        <v>1</v>
      </c>
    </row>
    <row r="65" spans="1:8">
      <c r="A65" s="24">
        <v>37</v>
      </c>
      <c r="B65" s="24">
        <v>19.2</v>
      </c>
      <c r="C65" s="24">
        <v>156</v>
      </c>
      <c r="D65" s="24">
        <v>111</v>
      </c>
      <c r="E65" s="24">
        <v>5.9</v>
      </c>
      <c r="F65" s="25" t="s">
        <v>19</v>
      </c>
      <c r="G65" s="24">
        <v>245.4</v>
      </c>
      <c r="H65" s="24">
        <v>0</v>
      </c>
    </row>
    <row r="66" spans="1:8">
      <c r="A66" s="27">
        <v>54</v>
      </c>
      <c r="B66" s="27"/>
      <c r="C66" s="27">
        <v>170</v>
      </c>
      <c r="D66" s="27">
        <v>63</v>
      </c>
      <c r="E66" s="27"/>
      <c r="F66" s="28" t="s">
        <v>19</v>
      </c>
      <c r="G66" s="27">
        <v>42.6</v>
      </c>
      <c r="H66" s="26">
        <v>1</v>
      </c>
    </row>
    <row r="67" spans="1:8">
      <c r="A67" s="24">
        <v>49</v>
      </c>
      <c r="B67" s="24">
        <v>24.6</v>
      </c>
      <c r="C67" s="24">
        <v>153</v>
      </c>
      <c r="D67" s="24">
        <v>87</v>
      </c>
      <c r="E67" s="24">
        <v>2.4</v>
      </c>
      <c r="F67" s="25" t="s">
        <v>19</v>
      </c>
      <c r="G67" s="24">
        <v>76.8</v>
      </c>
      <c r="H67" s="24">
        <v>0</v>
      </c>
    </row>
    <row r="68" spans="1:8">
      <c r="A68" s="27">
        <v>73</v>
      </c>
      <c r="B68" s="27">
        <v>38.1</v>
      </c>
      <c r="C68" s="27">
        <v>190</v>
      </c>
      <c r="D68" s="27">
        <v>62</v>
      </c>
      <c r="E68" s="27">
        <v>0.4</v>
      </c>
      <c r="F68" s="28" t="s">
        <v>19</v>
      </c>
      <c r="G68" s="27">
        <v>63.8</v>
      </c>
      <c r="H68" s="26">
        <v>1</v>
      </c>
    </row>
    <row r="69" spans="1:8">
      <c r="A69" s="24">
        <v>24</v>
      </c>
      <c r="B69" s="24">
        <v>33.799999999999997</v>
      </c>
      <c r="C69" s="24">
        <v>77</v>
      </c>
      <c r="D69" s="24">
        <v>91</v>
      </c>
      <c r="E69" s="24">
        <v>0.1</v>
      </c>
      <c r="F69" s="25" t="s">
        <v>19</v>
      </c>
      <c r="G69" s="24">
        <v>67.3</v>
      </c>
      <c r="H69" s="24">
        <v>0</v>
      </c>
    </row>
    <row r="70" spans="1:8">
      <c r="A70" s="27">
        <v>50</v>
      </c>
      <c r="B70" s="27">
        <v>31.8</v>
      </c>
      <c r="C70" s="27">
        <v>125</v>
      </c>
      <c r="D70" s="27">
        <v>119</v>
      </c>
      <c r="E70" s="27">
        <v>5.4</v>
      </c>
      <c r="F70" s="28" t="s">
        <v>19</v>
      </c>
      <c r="G70" s="27">
        <v>155.4</v>
      </c>
      <c r="H70" s="26">
        <v>1</v>
      </c>
    </row>
    <row r="71" spans="1:8">
      <c r="A71" s="24">
        <v>67</v>
      </c>
      <c r="B71" s="24">
        <v>36.799999999999997</v>
      </c>
      <c r="C71" s="24">
        <v>111</v>
      </c>
      <c r="D71" s="24">
        <v>99</v>
      </c>
      <c r="E71" s="24">
        <v>0.2</v>
      </c>
      <c r="F71" s="25" t="s">
        <v>19</v>
      </c>
      <c r="G71" s="24">
        <v>148.19999999999999</v>
      </c>
      <c r="H71" s="26">
        <v>1</v>
      </c>
    </row>
    <row r="72" spans="1:8">
      <c r="A72" s="27">
        <v>78</v>
      </c>
      <c r="B72" s="27">
        <v>27.8</v>
      </c>
      <c r="C72" s="27">
        <v>120</v>
      </c>
      <c r="D72" s="27">
        <v>69</v>
      </c>
      <c r="E72" s="27">
        <v>5.8</v>
      </c>
      <c r="F72" s="28" t="s">
        <v>19</v>
      </c>
      <c r="G72" s="27">
        <v>34.5</v>
      </c>
      <c r="H72" s="27">
        <v>0</v>
      </c>
    </row>
    <row r="73" spans="1:8">
      <c r="A73" s="24">
        <v>69</v>
      </c>
      <c r="B73" s="24">
        <v>34.6</v>
      </c>
      <c r="C73" s="24">
        <v>100</v>
      </c>
      <c r="D73" s="24">
        <v>65</v>
      </c>
      <c r="E73" s="24">
        <v>3</v>
      </c>
      <c r="F73" s="25" t="s">
        <v>19</v>
      </c>
      <c r="G73" s="24">
        <v>26.5</v>
      </c>
      <c r="H73" s="26">
        <v>1</v>
      </c>
    </row>
    <row r="74" spans="1:8">
      <c r="A74" s="27">
        <v>61</v>
      </c>
      <c r="B74" s="27">
        <v>38.5</v>
      </c>
      <c r="C74" s="27">
        <v>195</v>
      </c>
      <c r="D74" s="27">
        <v>73</v>
      </c>
      <c r="E74" s="27">
        <v>2.5</v>
      </c>
      <c r="F74" s="28" t="s">
        <v>19</v>
      </c>
      <c r="G74" s="27">
        <v>179.8</v>
      </c>
      <c r="H74" s="26">
        <v>1</v>
      </c>
    </row>
    <row r="75" spans="1:8">
      <c r="A75" s="24">
        <v>47</v>
      </c>
      <c r="B75" s="24">
        <v>30.8</v>
      </c>
      <c r="C75" s="24">
        <v>139</v>
      </c>
      <c r="D75" s="24">
        <v>128</v>
      </c>
      <c r="E75" s="24">
        <v>3.3</v>
      </c>
      <c r="F75" s="25" t="s">
        <v>19</v>
      </c>
      <c r="G75" s="24">
        <v>87.4</v>
      </c>
      <c r="H75" s="26">
        <v>1</v>
      </c>
    </row>
    <row r="76" spans="1:8">
      <c r="A76" s="27">
        <v>35</v>
      </c>
      <c r="B76" s="27">
        <v>20.5</v>
      </c>
      <c r="C76" s="27">
        <v>185</v>
      </c>
      <c r="D76" s="27">
        <v>91</v>
      </c>
      <c r="E76" s="27">
        <v>4</v>
      </c>
      <c r="F76" s="28" t="s">
        <v>19</v>
      </c>
      <c r="G76" s="27">
        <v>90.7</v>
      </c>
      <c r="H76" s="27">
        <v>0</v>
      </c>
    </row>
    <row r="77" spans="1:8">
      <c r="A77" s="24">
        <v>51</v>
      </c>
      <c r="B77" s="24">
        <v>22.8</v>
      </c>
      <c r="C77" s="24">
        <v>124</v>
      </c>
      <c r="D77" s="24">
        <v>105</v>
      </c>
      <c r="E77" s="24">
        <v>2.4</v>
      </c>
      <c r="F77" s="25" t="s">
        <v>19</v>
      </c>
      <c r="G77" s="24">
        <v>143.4</v>
      </c>
      <c r="H77" s="24">
        <v>0</v>
      </c>
    </row>
    <row r="78" spans="1:8">
      <c r="A78" s="27">
        <v>53</v>
      </c>
      <c r="B78" s="27">
        <v>20.5</v>
      </c>
      <c r="C78" s="27">
        <v>174</v>
      </c>
      <c r="D78" s="27">
        <v>122</v>
      </c>
      <c r="E78" s="27">
        <v>1.7</v>
      </c>
      <c r="F78" s="28" t="s">
        <v>19</v>
      </c>
      <c r="G78" s="27">
        <v>165</v>
      </c>
      <c r="H78" s="26">
        <v>1</v>
      </c>
    </row>
    <row r="79" spans="1:8">
      <c r="A79" s="24">
        <v>51</v>
      </c>
      <c r="B79" s="24">
        <v>18.899999999999999</v>
      </c>
      <c r="C79" s="24">
        <v>145</v>
      </c>
      <c r="D79" s="24">
        <v>88</v>
      </c>
      <c r="E79" s="24">
        <v>1.7</v>
      </c>
      <c r="F79" s="25" t="s">
        <v>19</v>
      </c>
      <c r="G79" s="24">
        <v>123.6</v>
      </c>
      <c r="H79" s="26">
        <v>1</v>
      </c>
    </row>
    <row r="80" spans="1:8">
      <c r="A80" s="27">
        <v>53</v>
      </c>
      <c r="B80" s="27">
        <v>41.9</v>
      </c>
      <c r="C80" s="27">
        <v>154</v>
      </c>
      <c r="D80" s="27">
        <v>105</v>
      </c>
      <c r="E80" s="27">
        <v>1.9</v>
      </c>
      <c r="F80" s="28" t="s">
        <v>19</v>
      </c>
      <c r="G80" s="27">
        <v>65.3</v>
      </c>
      <c r="H80" s="26">
        <v>1</v>
      </c>
    </row>
    <row r="81" spans="1:8">
      <c r="A81" s="24">
        <v>66</v>
      </c>
      <c r="B81" s="24">
        <v>21.3</v>
      </c>
      <c r="C81" s="24">
        <v>117</v>
      </c>
      <c r="D81" s="24">
        <v>84</v>
      </c>
      <c r="E81" s="24">
        <v>3.4</v>
      </c>
      <c r="F81" s="25" t="s">
        <v>19</v>
      </c>
      <c r="G81" s="24">
        <v>245.3</v>
      </c>
      <c r="H81" s="24">
        <v>0</v>
      </c>
    </row>
    <row r="82" spans="1:8">
      <c r="A82" s="27">
        <v>73</v>
      </c>
      <c r="B82" s="27">
        <v>23.8</v>
      </c>
      <c r="C82" s="27">
        <v>115</v>
      </c>
      <c r="D82" s="27">
        <v>98</v>
      </c>
      <c r="E82" s="27"/>
      <c r="F82" s="28" t="s">
        <v>19</v>
      </c>
      <c r="G82" s="27">
        <v>75.8</v>
      </c>
      <c r="H82" s="27">
        <v>0</v>
      </c>
    </row>
    <row r="83" spans="1:8">
      <c r="A83" s="24">
        <v>23</v>
      </c>
      <c r="B83" s="24">
        <v>34.9</v>
      </c>
      <c r="C83" s="24">
        <v>102</v>
      </c>
      <c r="D83" s="24">
        <v>122</v>
      </c>
      <c r="E83" s="24">
        <v>0.1</v>
      </c>
      <c r="F83" s="25" t="s">
        <v>19</v>
      </c>
      <c r="G83" s="24">
        <v>122.7</v>
      </c>
      <c r="H83" s="26">
        <v>1</v>
      </c>
    </row>
    <row r="84" spans="1:8">
      <c r="A84" s="27">
        <v>48</v>
      </c>
      <c r="B84" s="27">
        <v>41.2</v>
      </c>
      <c r="C84" s="27">
        <v>134</v>
      </c>
      <c r="D84" s="27">
        <v>121</v>
      </c>
      <c r="E84" s="27">
        <v>0.5</v>
      </c>
      <c r="F84" s="28" t="s">
        <v>19</v>
      </c>
      <c r="G84" s="27">
        <v>27.8</v>
      </c>
      <c r="H84" s="26">
        <v>1</v>
      </c>
    </row>
    <row r="85" spans="1:8">
      <c r="A85" s="24">
        <v>60</v>
      </c>
      <c r="B85" s="24">
        <v>22.1</v>
      </c>
      <c r="C85" s="24">
        <v>147</v>
      </c>
      <c r="D85" s="24">
        <v>70</v>
      </c>
      <c r="E85" s="24">
        <v>0.8</v>
      </c>
      <c r="F85" s="25" t="s">
        <v>19</v>
      </c>
      <c r="G85" s="24">
        <v>155.5</v>
      </c>
      <c r="H85" s="26">
        <v>1</v>
      </c>
    </row>
    <row r="86" spans="1:8">
      <c r="A86" s="27">
        <v>70</v>
      </c>
      <c r="B86" s="27">
        <v>36.700000000000003</v>
      </c>
      <c r="C86" s="27">
        <v>167</v>
      </c>
      <c r="D86" s="27">
        <v>117</v>
      </c>
      <c r="E86" s="27">
        <v>2.1</v>
      </c>
      <c r="F86" s="28" t="s">
        <v>19</v>
      </c>
      <c r="G86" s="27">
        <v>83.3</v>
      </c>
      <c r="H86" s="26">
        <v>1</v>
      </c>
    </row>
    <row r="87" spans="1:8">
      <c r="A87" s="24">
        <v>59</v>
      </c>
      <c r="B87" s="24"/>
      <c r="C87" s="24">
        <v>95</v>
      </c>
      <c r="D87" s="24">
        <v>86</v>
      </c>
      <c r="E87" s="24">
        <v>1.9</v>
      </c>
      <c r="F87" s="25" t="s">
        <v>18</v>
      </c>
      <c r="G87" s="24">
        <v>47.7</v>
      </c>
      <c r="H87" s="26">
        <v>1</v>
      </c>
    </row>
    <row r="88" spans="1:8">
      <c r="A88" s="27">
        <v>31</v>
      </c>
      <c r="B88" s="27">
        <v>22.2</v>
      </c>
      <c r="C88" s="27">
        <v>174</v>
      </c>
      <c r="D88" s="27">
        <v>117</v>
      </c>
      <c r="E88" s="27">
        <v>3.3</v>
      </c>
      <c r="F88" s="28" t="s">
        <v>18</v>
      </c>
      <c r="G88" s="27">
        <v>65.599999999999994</v>
      </c>
      <c r="H88" s="26">
        <v>1</v>
      </c>
    </row>
    <row r="89" spans="1:8">
      <c r="A89" s="24">
        <v>65</v>
      </c>
      <c r="B89" s="24">
        <v>38.700000000000003</v>
      </c>
      <c r="C89" s="24">
        <v>88</v>
      </c>
      <c r="D89" s="24">
        <v>89</v>
      </c>
      <c r="E89" s="24">
        <v>5.5</v>
      </c>
      <c r="F89" s="25" t="s">
        <v>19</v>
      </c>
      <c r="G89" s="24">
        <v>112</v>
      </c>
      <c r="H89" s="24">
        <v>0</v>
      </c>
    </row>
    <row r="90" spans="1:8">
      <c r="A90" s="27">
        <v>54</v>
      </c>
      <c r="B90" s="27">
        <v>22</v>
      </c>
      <c r="C90" s="27">
        <v>138</v>
      </c>
      <c r="D90" s="27">
        <v>78</v>
      </c>
      <c r="E90" s="27"/>
      <c r="F90" s="28" t="s">
        <v>19</v>
      </c>
      <c r="G90" s="27">
        <v>200.2</v>
      </c>
      <c r="H90" s="26">
        <v>1</v>
      </c>
    </row>
    <row r="91" spans="1:8">
      <c r="A91" s="24">
        <v>58</v>
      </c>
      <c r="B91" s="24">
        <v>31.9</v>
      </c>
      <c r="C91" s="24">
        <v>143</v>
      </c>
      <c r="D91" s="24">
        <v>116</v>
      </c>
      <c r="E91" s="24">
        <v>4.8</v>
      </c>
      <c r="F91" s="25" t="s">
        <v>19</v>
      </c>
      <c r="G91" s="24">
        <v>236.2</v>
      </c>
      <c r="H91" s="26">
        <v>1</v>
      </c>
    </row>
    <row r="92" spans="1:8">
      <c r="A92" s="27">
        <v>52</v>
      </c>
      <c r="B92" s="27">
        <v>28.8</v>
      </c>
      <c r="C92" s="27">
        <v>80</v>
      </c>
      <c r="D92" s="27">
        <v>115</v>
      </c>
      <c r="E92" s="27">
        <v>4.2</v>
      </c>
      <c r="F92" s="28" t="s">
        <v>18</v>
      </c>
      <c r="G92" s="27">
        <v>31.9</v>
      </c>
      <c r="H92" s="26">
        <v>1</v>
      </c>
    </row>
    <row r="93" spans="1:8">
      <c r="A93" s="24">
        <v>63</v>
      </c>
      <c r="B93" s="24">
        <v>32</v>
      </c>
      <c r="C93" s="24">
        <v>75</v>
      </c>
      <c r="D93" s="24">
        <v>94</v>
      </c>
      <c r="E93" s="24">
        <v>5.3</v>
      </c>
      <c r="F93" s="25" t="s">
        <v>19</v>
      </c>
      <c r="G93" s="24">
        <v>122.9</v>
      </c>
      <c r="H93" s="24">
        <v>0</v>
      </c>
    </row>
    <row r="94" spans="1:8">
      <c r="A94" s="27">
        <v>61</v>
      </c>
      <c r="B94" s="27">
        <v>25</v>
      </c>
      <c r="C94" s="27">
        <v>181</v>
      </c>
      <c r="D94" s="27">
        <v>122</v>
      </c>
      <c r="E94" s="27">
        <v>3.3</v>
      </c>
      <c r="F94" s="28" t="s">
        <v>19</v>
      </c>
      <c r="G94" s="27">
        <v>90</v>
      </c>
      <c r="H94" s="26">
        <v>1</v>
      </c>
    </row>
    <row r="95" spans="1:8">
      <c r="A95" s="24">
        <v>62</v>
      </c>
      <c r="B95" s="24">
        <v>22.3</v>
      </c>
      <c r="C95" s="24">
        <v>175</v>
      </c>
      <c r="D95" s="24">
        <v>123</v>
      </c>
      <c r="E95" s="24">
        <v>6.6</v>
      </c>
      <c r="F95" s="25" t="s">
        <v>18</v>
      </c>
      <c r="G95" s="24">
        <v>119.2</v>
      </c>
      <c r="H95" s="26">
        <v>1</v>
      </c>
    </row>
    <row r="96" spans="1:8">
      <c r="A96" s="27">
        <v>40</v>
      </c>
      <c r="B96" s="27">
        <v>21.2</v>
      </c>
      <c r="C96" s="27">
        <v>173</v>
      </c>
      <c r="D96" s="27">
        <v>125</v>
      </c>
      <c r="E96" s="27">
        <v>0</v>
      </c>
      <c r="F96" s="28" t="s">
        <v>19</v>
      </c>
      <c r="G96" s="27">
        <v>109.2</v>
      </c>
      <c r="H96" s="27">
        <v>0</v>
      </c>
    </row>
    <row r="97" spans="1:8">
      <c r="A97" s="24">
        <v>32</v>
      </c>
      <c r="B97" s="24">
        <v>33.1</v>
      </c>
      <c r="C97" s="24">
        <v>197</v>
      </c>
      <c r="D97" s="24">
        <v>116</v>
      </c>
      <c r="E97" s="24">
        <v>1.4</v>
      </c>
      <c r="F97" s="25" t="s">
        <v>19</v>
      </c>
      <c r="G97" s="24">
        <v>232.6</v>
      </c>
      <c r="H97" s="26">
        <v>1</v>
      </c>
    </row>
    <row r="98" spans="1:8">
      <c r="A98" s="27">
        <v>48</v>
      </c>
      <c r="B98" s="27">
        <v>29.9</v>
      </c>
      <c r="C98" s="27">
        <v>77</v>
      </c>
      <c r="D98" s="27">
        <v>90</v>
      </c>
      <c r="E98" s="27">
        <v>2.2000000000000002</v>
      </c>
      <c r="F98" s="28" t="s">
        <v>18</v>
      </c>
      <c r="G98" s="27">
        <v>142.5</v>
      </c>
      <c r="H98" s="27">
        <v>0</v>
      </c>
    </row>
    <row r="99" spans="1:8">
      <c r="A99" s="24">
        <v>25</v>
      </c>
      <c r="B99" s="24">
        <v>38.299999999999997</v>
      </c>
      <c r="C99" s="24">
        <v>99</v>
      </c>
      <c r="D99" s="24">
        <v>119</v>
      </c>
      <c r="E99" s="24">
        <v>4.5</v>
      </c>
      <c r="F99" s="25" t="s">
        <v>19</v>
      </c>
      <c r="G99" s="24">
        <v>129.6</v>
      </c>
      <c r="H99" s="24">
        <v>0</v>
      </c>
    </row>
    <row r="100" spans="1:8">
      <c r="A100" s="27">
        <v>65</v>
      </c>
      <c r="B100" s="27">
        <v>35.1</v>
      </c>
      <c r="C100" s="27">
        <v>176</v>
      </c>
      <c r="D100" s="27">
        <v>121</v>
      </c>
      <c r="E100" s="27">
        <v>1.7</v>
      </c>
      <c r="F100" s="28" t="s">
        <v>19</v>
      </c>
      <c r="G100" s="27">
        <v>102.1</v>
      </c>
      <c r="H100" s="26">
        <v>1</v>
      </c>
    </row>
    <row r="101" spans="1:8">
      <c r="A101" s="24">
        <v>78</v>
      </c>
      <c r="B101" s="24">
        <v>36</v>
      </c>
      <c r="C101" s="24">
        <v>104</v>
      </c>
      <c r="D101" s="24">
        <v>68</v>
      </c>
      <c r="E101" s="24">
        <v>5.5</v>
      </c>
      <c r="F101" s="25" t="s">
        <v>19</v>
      </c>
      <c r="G101" s="24">
        <v>91.6</v>
      </c>
      <c r="H101" s="26">
        <v>1</v>
      </c>
    </row>
    <row r="102" spans="1:8">
      <c r="A102" s="27">
        <v>70</v>
      </c>
      <c r="B102" s="27">
        <v>37.799999999999997</v>
      </c>
      <c r="C102" s="27">
        <v>142</v>
      </c>
      <c r="D102" s="27">
        <v>98</v>
      </c>
      <c r="E102" s="27">
        <v>4.0999999999999996</v>
      </c>
      <c r="F102" s="28" t="s">
        <v>19</v>
      </c>
      <c r="G102" s="27">
        <v>217.7</v>
      </c>
      <c r="H102" s="26">
        <v>1</v>
      </c>
    </row>
    <row r="103" spans="1:8">
      <c r="A103" s="24">
        <v>48</v>
      </c>
      <c r="B103" s="24">
        <v>26.6</v>
      </c>
      <c r="C103" s="24">
        <v>166</v>
      </c>
      <c r="D103" s="24">
        <v>118</v>
      </c>
      <c r="E103" s="24">
        <v>6.1</v>
      </c>
      <c r="F103" s="25" t="s">
        <v>19</v>
      </c>
      <c r="G103" s="24">
        <v>147.19999999999999</v>
      </c>
      <c r="H103" s="26">
        <v>1</v>
      </c>
    </row>
    <row r="104" spans="1:8">
      <c r="A104" s="27">
        <v>34</v>
      </c>
      <c r="B104" s="27">
        <v>28.2</v>
      </c>
      <c r="C104" s="27">
        <v>151</v>
      </c>
      <c r="D104" s="27">
        <v>120</v>
      </c>
      <c r="E104" s="27">
        <v>5.7</v>
      </c>
      <c r="F104" s="28" t="s">
        <v>19</v>
      </c>
      <c r="G104" s="27">
        <v>247.2</v>
      </c>
      <c r="H104" s="26">
        <v>1</v>
      </c>
    </row>
    <row r="105" spans="1:8">
      <c r="A105" s="24">
        <v>70</v>
      </c>
      <c r="B105" s="24">
        <v>41.5</v>
      </c>
      <c r="C105" s="24">
        <v>196</v>
      </c>
      <c r="D105" s="24">
        <v>64</v>
      </c>
      <c r="E105" s="24">
        <v>6.8</v>
      </c>
      <c r="F105" s="25" t="s">
        <v>19</v>
      </c>
      <c r="G105" s="24">
        <v>218.7</v>
      </c>
      <c r="H105" s="26">
        <v>1</v>
      </c>
    </row>
    <row r="106" spans="1:8">
      <c r="A106" s="27">
        <v>75</v>
      </c>
      <c r="B106" s="27">
        <v>20.8</v>
      </c>
      <c r="C106" s="27">
        <v>186</v>
      </c>
      <c r="D106" s="27">
        <v>61</v>
      </c>
      <c r="E106" s="27">
        <v>2.9</v>
      </c>
      <c r="F106" s="28" t="s">
        <v>19</v>
      </c>
      <c r="G106" s="27">
        <v>28</v>
      </c>
      <c r="H106" s="26">
        <v>1</v>
      </c>
    </row>
    <row r="107" spans="1:8">
      <c r="A107" s="24">
        <v>70</v>
      </c>
      <c r="B107" s="24">
        <v>26.5</v>
      </c>
      <c r="C107" s="24">
        <v>171</v>
      </c>
      <c r="D107" s="24">
        <v>70</v>
      </c>
      <c r="E107" s="24">
        <v>6</v>
      </c>
      <c r="F107" s="25" t="s">
        <v>19</v>
      </c>
      <c r="G107" s="24">
        <v>239</v>
      </c>
      <c r="H107" s="26">
        <v>1</v>
      </c>
    </row>
    <row r="108" spans="1:8">
      <c r="A108" s="27">
        <v>60</v>
      </c>
      <c r="B108" s="27">
        <v>36.299999999999997</v>
      </c>
      <c r="C108" s="27">
        <v>79</v>
      </c>
      <c r="D108" s="27">
        <v>68</v>
      </c>
      <c r="E108" s="27">
        <v>4.8</v>
      </c>
      <c r="F108" s="28" t="s">
        <v>19</v>
      </c>
      <c r="G108" s="27">
        <v>249.4</v>
      </c>
      <c r="H108" s="27">
        <v>0</v>
      </c>
    </row>
    <row r="109" spans="1:8">
      <c r="A109" s="24">
        <v>67</v>
      </c>
      <c r="B109" s="24">
        <v>41.5</v>
      </c>
      <c r="C109" s="24">
        <v>95</v>
      </c>
      <c r="D109" s="24">
        <v>116</v>
      </c>
      <c r="E109" s="24">
        <v>2.1</v>
      </c>
      <c r="F109" s="25" t="s">
        <v>18</v>
      </c>
      <c r="G109" s="24">
        <v>21</v>
      </c>
      <c r="H109" s="26">
        <v>1</v>
      </c>
    </row>
    <row r="110" spans="1:8">
      <c r="A110" s="27">
        <v>70</v>
      </c>
      <c r="B110" s="27"/>
      <c r="C110" s="27">
        <v>161</v>
      </c>
      <c r="D110" s="27">
        <v>107</v>
      </c>
      <c r="E110" s="27">
        <v>1.7</v>
      </c>
      <c r="F110" s="28" t="s">
        <v>19</v>
      </c>
      <c r="G110" s="27">
        <v>145.80000000000001</v>
      </c>
      <c r="H110" s="26">
        <v>1</v>
      </c>
    </row>
    <row r="111" spans="1:8">
      <c r="A111" s="24">
        <v>70</v>
      </c>
      <c r="B111" s="24">
        <v>22.6</v>
      </c>
      <c r="C111" s="24">
        <v>167</v>
      </c>
      <c r="D111" s="24">
        <v>90</v>
      </c>
      <c r="E111" s="24">
        <v>4.0999999999999996</v>
      </c>
      <c r="F111" s="25" t="s">
        <v>19</v>
      </c>
      <c r="G111" s="24">
        <v>120.7</v>
      </c>
      <c r="H111" s="26">
        <v>1</v>
      </c>
    </row>
    <row r="112" spans="1:8">
      <c r="A112" s="27">
        <v>36</v>
      </c>
      <c r="B112" s="27">
        <v>34.200000000000003</v>
      </c>
      <c r="C112" s="27">
        <v>189</v>
      </c>
      <c r="D112" s="27">
        <v>96</v>
      </c>
      <c r="E112" s="27">
        <v>1.1000000000000001</v>
      </c>
      <c r="F112" s="28" t="s">
        <v>19</v>
      </c>
      <c r="G112" s="27">
        <v>236.9</v>
      </c>
      <c r="H112" s="26">
        <v>1</v>
      </c>
    </row>
    <row r="113" spans="1:8">
      <c r="A113" s="24">
        <v>57</v>
      </c>
      <c r="B113" s="24">
        <v>41.1</v>
      </c>
      <c r="C113" s="24">
        <v>134</v>
      </c>
      <c r="D113" s="24">
        <v>118</v>
      </c>
      <c r="E113" s="24">
        <v>1.4</v>
      </c>
      <c r="F113" s="25" t="s">
        <v>19</v>
      </c>
      <c r="G113" s="24">
        <v>214.8</v>
      </c>
      <c r="H113" s="26">
        <v>1</v>
      </c>
    </row>
    <row r="114" spans="1:8">
      <c r="A114" s="27">
        <v>26</v>
      </c>
      <c r="B114" s="27">
        <v>31.9</v>
      </c>
      <c r="C114" s="27">
        <v>145</v>
      </c>
      <c r="D114" s="27">
        <v>97</v>
      </c>
      <c r="E114" s="27"/>
      <c r="F114" s="28" t="s">
        <v>19</v>
      </c>
      <c r="G114" s="27">
        <v>75.900000000000006</v>
      </c>
      <c r="H114" s="26">
        <v>1</v>
      </c>
    </row>
    <row r="115" spans="1:8">
      <c r="A115" s="24">
        <v>56</v>
      </c>
      <c r="B115" s="24">
        <v>36.799999999999997</v>
      </c>
      <c r="C115" s="24">
        <v>82</v>
      </c>
      <c r="D115" s="24">
        <v>123</v>
      </c>
      <c r="E115" s="24">
        <v>6.3</v>
      </c>
      <c r="F115" s="25" t="s">
        <v>19</v>
      </c>
      <c r="G115" s="24">
        <v>155.69999999999999</v>
      </c>
      <c r="H115" s="24">
        <v>0</v>
      </c>
    </row>
    <row r="116" spans="1:8">
      <c r="A116" s="27">
        <v>42</v>
      </c>
      <c r="B116" s="27">
        <v>23</v>
      </c>
      <c r="C116" s="27">
        <v>134</v>
      </c>
      <c r="D116" s="27">
        <v>77</v>
      </c>
      <c r="E116" s="27">
        <v>6.3</v>
      </c>
      <c r="F116" s="28" t="s">
        <v>18</v>
      </c>
      <c r="G116" s="27">
        <v>84.1</v>
      </c>
      <c r="H116" s="26">
        <v>1</v>
      </c>
    </row>
    <row r="117" spans="1:8">
      <c r="A117" s="24">
        <v>48</v>
      </c>
      <c r="B117" s="24"/>
      <c r="C117" s="24">
        <v>163</v>
      </c>
      <c r="D117" s="24">
        <v>76</v>
      </c>
      <c r="E117" s="24"/>
      <c r="F117" s="25" t="s">
        <v>19</v>
      </c>
      <c r="G117" s="24">
        <v>88.4</v>
      </c>
      <c r="H117" s="24">
        <v>0</v>
      </c>
    </row>
    <row r="118" spans="1:8">
      <c r="A118" s="27">
        <v>46</v>
      </c>
      <c r="B118" s="27">
        <v>21.6</v>
      </c>
      <c r="C118" s="27">
        <v>163</v>
      </c>
      <c r="D118" s="27">
        <v>127</v>
      </c>
      <c r="E118" s="27">
        <v>1.9</v>
      </c>
      <c r="F118" s="28" t="s">
        <v>19</v>
      </c>
      <c r="G118" s="27">
        <v>71.7</v>
      </c>
      <c r="H118" s="26">
        <v>1</v>
      </c>
    </row>
    <row r="119" spans="1:8">
      <c r="A119" s="24">
        <v>72</v>
      </c>
      <c r="B119" s="24">
        <v>41.2</v>
      </c>
      <c r="C119" s="24">
        <v>145</v>
      </c>
      <c r="D119" s="24">
        <v>103</v>
      </c>
      <c r="E119" s="24">
        <v>3.3</v>
      </c>
      <c r="F119" s="25" t="s">
        <v>18</v>
      </c>
      <c r="G119" s="24">
        <v>43.8</v>
      </c>
      <c r="H119" s="26">
        <v>1</v>
      </c>
    </row>
    <row r="120" spans="1:8">
      <c r="A120" s="27">
        <v>34</v>
      </c>
      <c r="B120" s="27">
        <v>35.5</v>
      </c>
      <c r="C120" s="27">
        <v>171</v>
      </c>
      <c r="D120" s="27">
        <v>106</v>
      </c>
      <c r="E120" s="27"/>
      <c r="F120" s="28" t="s">
        <v>19</v>
      </c>
      <c r="G120" s="27">
        <v>13.3</v>
      </c>
      <c r="H120" s="26">
        <v>1</v>
      </c>
    </row>
    <row r="121" spans="1:8">
      <c r="A121" s="24">
        <v>54</v>
      </c>
      <c r="B121" s="24">
        <v>27.2</v>
      </c>
      <c r="C121" s="24">
        <v>137</v>
      </c>
      <c r="D121" s="24">
        <v>108</v>
      </c>
      <c r="E121" s="24">
        <v>6.6</v>
      </c>
      <c r="F121" s="25" t="s">
        <v>18</v>
      </c>
      <c r="G121" s="24">
        <v>172</v>
      </c>
      <c r="H121" s="26">
        <v>1</v>
      </c>
    </row>
    <row r="122" spans="1:8">
      <c r="A122" s="27">
        <v>50</v>
      </c>
      <c r="B122" s="27"/>
      <c r="C122" s="27">
        <v>153</v>
      </c>
      <c r="D122" s="27">
        <v>88</v>
      </c>
      <c r="E122" s="27">
        <v>4.4000000000000004</v>
      </c>
      <c r="F122" s="28" t="s">
        <v>19</v>
      </c>
      <c r="G122" s="27">
        <v>228.3</v>
      </c>
      <c r="H122" s="26">
        <v>1</v>
      </c>
    </row>
    <row r="123" spans="1:8">
      <c r="A123" s="24">
        <v>39</v>
      </c>
      <c r="B123" s="24">
        <v>21.2</v>
      </c>
      <c r="C123" s="24">
        <v>81</v>
      </c>
      <c r="D123" s="24">
        <v>64</v>
      </c>
      <c r="E123" s="24">
        <v>3.4</v>
      </c>
      <c r="F123" s="25" t="s">
        <v>18</v>
      </c>
      <c r="G123" s="24">
        <v>66.400000000000006</v>
      </c>
      <c r="H123" s="24">
        <v>0</v>
      </c>
    </row>
    <row r="124" spans="1:8">
      <c r="A124" s="27">
        <v>54</v>
      </c>
      <c r="B124" s="27">
        <v>29.2</v>
      </c>
      <c r="C124" s="27">
        <v>177</v>
      </c>
      <c r="D124" s="27">
        <v>79</v>
      </c>
      <c r="E124" s="27">
        <v>4.5999999999999996</v>
      </c>
      <c r="F124" s="28" t="s">
        <v>19</v>
      </c>
      <c r="G124" s="27">
        <v>157.80000000000001</v>
      </c>
      <c r="H124" s="26">
        <v>1</v>
      </c>
    </row>
    <row r="125" spans="1:8">
      <c r="A125" s="24">
        <v>37</v>
      </c>
      <c r="B125" s="24"/>
      <c r="C125" s="24">
        <v>164</v>
      </c>
      <c r="D125" s="24">
        <v>87</v>
      </c>
      <c r="E125" s="24">
        <v>6.7</v>
      </c>
      <c r="F125" s="25" t="s">
        <v>19</v>
      </c>
      <c r="G125" s="24">
        <v>33.799999999999997</v>
      </c>
      <c r="H125" s="24">
        <v>0</v>
      </c>
    </row>
    <row r="126" spans="1:8">
      <c r="A126" s="27">
        <v>63</v>
      </c>
      <c r="B126" s="27">
        <v>39.700000000000003</v>
      </c>
      <c r="C126" s="27">
        <v>161</v>
      </c>
      <c r="D126" s="27">
        <v>67</v>
      </c>
      <c r="E126" s="27">
        <v>1.3</v>
      </c>
      <c r="F126" s="28" t="s">
        <v>18</v>
      </c>
      <c r="G126" s="27">
        <v>237.8</v>
      </c>
      <c r="H126" s="26">
        <v>1</v>
      </c>
    </row>
    <row r="127" spans="1:8">
      <c r="A127" s="24">
        <v>72</v>
      </c>
      <c r="B127" s="24">
        <v>34.1</v>
      </c>
      <c r="C127" s="24">
        <v>75</v>
      </c>
      <c r="D127" s="24">
        <v>66</v>
      </c>
      <c r="E127" s="24">
        <v>1.7</v>
      </c>
      <c r="F127" s="25" t="s">
        <v>19</v>
      </c>
      <c r="G127" s="24">
        <v>198.9</v>
      </c>
      <c r="H127" s="26">
        <v>1</v>
      </c>
    </row>
    <row r="128" spans="1:8">
      <c r="A128" s="27">
        <v>33</v>
      </c>
      <c r="B128" s="27"/>
      <c r="C128" s="27">
        <v>123</v>
      </c>
      <c r="D128" s="27">
        <v>87</v>
      </c>
      <c r="E128" s="27">
        <v>1.6</v>
      </c>
      <c r="F128" s="28" t="s">
        <v>19</v>
      </c>
      <c r="G128" s="27">
        <v>199.3</v>
      </c>
      <c r="H128" s="27">
        <v>0</v>
      </c>
    </row>
    <row r="129" spans="1:8">
      <c r="A129" s="24">
        <v>58</v>
      </c>
      <c r="B129" s="24"/>
      <c r="C129" s="24">
        <v>107</v>
      </c>
      <c r="D129" s="24">
        <v>76</v>
      </c>
      <c r="E129" s="24">
        <v>5.6</v>
      </c>
      <c r="F129" s="25" t="s">
        <v>18</v>
      </c>
      <c r="G129" s="24">
        <v>168.7</v>
      </c>
      <c r="H129" s="26">
        <v>1</v>
      </c>
    </row>
    <row r="130" spans="1:8">
      <c r="A130" s="27">
        <v>21</v>
      </c>
      <c r="B130" s="27">
        <v>26.9</v>
      </c>
      <c r="C130" s="27">
        <v>130</v>
      </c>
      <c r="D130" s="27">
        <v>101</v>
      </c>
      <c r="E130" s="27"/>
      <c r="F130" s="28" t="s">
        <v>19</v>
      </c>
      <c r="G130" s="27">
        <v>22.6</v>
      </c>
      <c r="H130" s="26">
        <v>1</v>
      </c>
    </row>
    <row r="131" spans="1:8">
      <c r="A131" s="24">
        <v>67</v>
      </c>
      <c r="B131" s="24">
        <v>21.2</v>
      </c>
      <c r="C131" s="24">
        <v>86</v>
      </c>
      <c r="D131" s="24">
        <v>120</v>
      </c>
      <c r="E131" s="24">
        <v>2.5</v>
      </c>
      <c r="F131" s="25" t="s">
        <v>18</v>
      </c>
      <c r="G131" s="24">
        <v>118.5</v>
      </c>
      <c r="H131" s="24">
        <v>0</v>
      </c>
    </row>
    <row r="132" spans="1:8">
      <c r="A132" s="27">
        <v>34</v>
      </c>
      <c r="B132" s="27">
        <v>19.5</v>
      </c>
      <c r="C132" s="27">
        <v>147</v>
      </c>
      <c r="D132" s="27">
        <v>118</v>
      </c>
      <c r="E132" s="27">
        <v>0.2</v>
      </c>
      <c r="F132" s="28" t="s">
        <v>19</v>
      </c>
      <c r="G132" s="27">
        <v>213.4</v>
      </c>
      <c r="H132" s="26">
        <v>1</v>
      </c>
    </row>
    <row r="133" spans="1:8">
      <c r="A133" s="24">
        <v>47</v>
      </c>
      <c r="B133" s="24">
        <v>30</v>
      </c>
      <c r="C133" s="24">
        <v>183</v>
      </c>
      <c r="D133" s="24">
        <v>69</v>
      </c>
      <c r="E133" s="24">
        <v>2.2999999999999998</v>
      </c>
      <c r="F133" s="25" t="s">
        <v>19</v>
      </c>
      <c r="G133" s="24">
        <v>25.8</v>
      </c>
      <c r="H133" s="26">
        <v>1</v>
      </c>
    </row>
    <row r="134" spans="1:8">
      <c r="A134" s="27">
        <v>37</v>
      </c>
      <c r="B134" s="27">
        <v>32.299999999999997</v>
      </c>
      <c r="C134" s="27">
        <v>153</v>
      </c>
      <c r="D134" s="27">
        <v>108</v>
      </c>
      <c r="E134" s="27">
        <v>3.7</v>
      </c>
      <c r="F134" s="28" t="s">
        <v>19</v>
      </c>
      <c r="G134" s="27">
        <v>131.30000000000001</v>
      </c>
      <c r="H134" s="26">
        <v>1</v>
      </c>
    </row>
    <row r="135" spans="1:8">
      <c r="A135" s="24">
        <v>47</v>
      </c>
      <c r="B135" s="24">
        <v>35</v>
      </c>
      <c r="C135" s="24">
        <v>125</v>
      </c>
      <c r="D135" s="24">
        <v>115</v>
      </c>
      <c r="E135" s="24">
        <v>1.6</v>
      </c>
      <c r="F135" s="25" t="s">
        <v>19</v>
      </c>
      <c r="G135" s="24">
        <v>208.6</v>
      </c>
      <c r="H135" s="26">
        <v>1</v>
      </c>
    </row>
    <row r="136" spans="1:8">
      <c r="A136" s="27">
        <v>45</v>
      </c>
      <c r="B136" s="27">
        <v>20.7</v>
      </c>
      <c r="C136" s="27">
        <v>179</v>
      </c>
      <c r="D136" s="27">
        <v>100</v>
      </c>
      <c r="E136" s="27">
        <v>2.6</v>
      </c>
      <c r="F136" s="28" t="s">
        <v>19</v>
      </c>
      <c r="G136" s="27">
        <v>174.8</v>
      </c>
      <c r="H136" s="27">
        <v>0</v>
      </c>
    </row>
    <row r="137" spans="1:8">
      <c r="A137" s="24">
        <v>50</v>
      </c>
      <c r="B137" s="24"/>
      <c r="C137" s="24">
        <v>91</v>
      </c>
      <c r="D137" s="24">
        <v>71</v>
      </c>
      <c r="E137" s="24">
        <v>5.2</v>
      </c>
      <c r="F137" s="25" t="s">
        <v>19</v>
      </c>
      <c r="G137" s="24">
        <v>204.8</v>
      </c>
      <c r="H137" s="24">
        <v>0</v>
      </c>
    </row>
    <row r="138" spans="1:8">
      <c r="A138" s="27">
        <v>55</v>
      </c>
      <c r="B138" s="27"/>
      <c r="C138" s="27">
        <v>154</v>
      </c>
      <c r="D138" s="27">
        <v>75</v>
      </c>
      <c r="E138" s="27">
        <v>6.1</v>
      </c>
      <c r="F138" s="28" t="s">
        <v>19</v>
      </c>
      <c r="G138" s="27">
        <v>218.3</v>
      </c>
      <c r="H138" s="26">
        <v>1</v>
      </c>
    </row>
    <row r="139" spans="1:8">
      <c r="A139" s="24">
        <v>66</v>
      </c>
      <c r="B139" s="24"/>
      <c r="C139" s="24">
        <v>143</v>
      </c>
      <c r="D139" s="24">
        <v>99</v>
      </c>
      <c r="E139" s="24">
        <v>4</v>
      </c>
      <c r="F139" s="25" t="s">
        <v>19</v>
      </c>
      <c r="G139" s="24">
        <v>47.1</v>
      </c>
      <c r="H139" s="26">
        <v>1</v>
      </c>
    </row>
    <row r="140" spans="1:8">
      <c r="A140" s="27">
        <v>50</v>
      </c>
      <c r="B140" s="27">
        <v>21</v>
      </c>
      <c r="C140" s="27">
        <v>164</v>
      </c>
      <c r="D140" s="27">
        <v>74</v>
      </c>
      <c r="E140" s="27">
        <v>4</v>
      </c>
      <c r="F140" s="28" t="s">
        <v>19</v>
      </c>
      <c r="G140" s="27">
        <v>212.8</v>
      </c>
      <c r="H140" s="26">
        <v>1</v>
      </c>
    </row>
    <row r="141" spans="1:8">
      <c r="A141" s="24">
        <v>69</v>
      </c>
      <c r="B141" s="24">
        <v>32.9</v>
      </c>
      <c r="C141" s="24">
        <v>76</v>
      </c>
      <c r="D141" s="24">
        <v>94</v>
      </c>
      <c r="E141" s="24"/>
      <c r="F141" s="25" t="s">
        <v>19</v>
      </c>
      <c r="G141" s="24">
        <v>178.6</v>
      </c>
      <c r="H141" s="24">
        <v>0</v>
      </c>
    </row>
    <row r="142" spans="1:8">
      <c r="A142" s="27">
        <v>39</v>
      </c>
      <c r="B142" s="27">
        <v>26.7</v>
      </c>
      <c r="C142" s="27">
        <v>116</v>
      </c>
      <c r="D142" s="27">
        <v>78</v>
      </c>
      <c r="E142" s="27">
        <v>2.8</v>
      </c>
      <c r="F142" s="28" t="s">
        <v>19</v>
      </c>
      <c r="G142" s="27">
        <v>187.8</v>
      </c>
      <c r="H142" s="27">
        <v>0</v>
      </c>
    </row>
    <row r="143" spans="1:8">
      <c r="A143" s="24">
        <v>21</v>
      </c>
      <c r="B143" s="24">
        <v>31</v>
      </c>
      <c r="C143" s="24">
        <v>166</v>
      </c>
      <c r="D143" s="24">
        <v>113</v>
      </c>
      <c r="E143" s="24">
        <v>1.1000000000000001</v>
      </c>
      <c r="F143" s="25" t="s">
        <v>19</v>
      </c>
      <c r="G143" s="24">
        <v>183.2</v>
      </c>
      <c r="H143" s="26">
        <v>1</v>
      </c>
    </row>
    <row r="144" spans="1:8">
      <c r="A144" s="27">
        <v>69</v>
      </c>
      <c r="B144" s="27">
        <v>32.5</v>
      </c>
      <c r="C144" s="27">
        <v>83</v>
      </c>
      <c r="D144" s="27">
        <v>79</v>
      </c>
      <c r="E144" s="27">
        <v>4.3</v>
      </c>
      <c r="F144" s="28" t="s">
        <v>18</v>
      </c>
      <c r="G144" s="27">
        <v>75.3</v>
      </c>
      <c r="H144" s="26">
        <v>1</v>
      </c>
    </row>
    <row r="145" spans="1:8">
      <c r="A145" s="24">
        <v>62</v>
      </c>
      <c r="B145" s="24">
        <v>32.799999999999997</v>
      </c>
      <c r="C145" s="24">
        <v>176</v>
      </c>
      <c r="D145" s="24">
        <v>94</v>
      </c>
      <c r="E145" s="24">
        <v>3.6</v>
      </c>
      <c r="F145" s="25" t="s">
        <v>19</v>
      </c>
      <c r="G145" s="24">
        <v>113.2</v>
      </c>
      <c r="H145" s="26">
        <v>1</v>
      </c>
    </row>
    <row r="146" spans="1:8">
      <c r="A146" s="27">
        <v>38</v>
      </c>
      <c r="B146" s="27">
        <v>32.4</v>
      </c>
      <c r="C146" s="27">
        <v>148</v>
      </c>
      <c r="D146" s="27">
        <v>65</v>
      </c>
      <c r="E146" s="27">
        <v>6.9</v>
      </c>
      <c r="F146" s="28" t="s">
        <v>18</v>
      </c>
      <c r="G146" s="27">
        <v>11.8</v>
      </c>
      <c r="H146" s="26">
        <v>1</v>
      </c>
    </row>
    <row r="147" spans="1:8">
      <c r="A147" s="24">
        <v>39</v>
      </c>
      <c r="B147" s="24">
        <v>36.5</v>
      </c>
      <c r="C147" s="24">
        <v>135</v>
      </c>
      <c r="D147" s="24">
        <v>97</v>
      </c>
      <c r="E147" s="24">
        <v>0.1</v>
      </c>
      <c r="F147" s="25" t="s">
        <v>19</v>
      </c>
      <c r="G147" s="24">
        <v>52.2</v>
      </c>
      <c r="H147" s="26">
        <v>1</v>
      </c>
    </row>
    <row r="148" spans="1:8">
      <c r="A148" s="27">
        <v>44</v>
      </c>
      <c r="B148" s="27">
        <v>23.9</v>
      </c>
      <c r="C148" s="27">
        <v>160</v>
      </c>
      <c r="D148" s="27">
        <v>69</v>
      </c>
      <c r="E148" s="27">
        <v>5.2</v>
      </c>
      <c r="F148" s="28" t="s">
        <v>19</v>
      </c>
      <c r="G148" s="27">
        <v>14.5</v>
      </c>
      <c r="H148" s="27">
        <v>0</v>
      </c>
    </row>
    <row r="149" spans="1:8">
      <c r="A149" s="24">
        <v>78</v>
      </c>
      <c r="B149" s="24"/>
      <c r="C149" s="24">
        <v>150</v>
      </c>
      <c r="D149" s="24">
        <v>114</v>
      </c>
      <c r="E149" s="24">
        <v>5</v>
      </c>
      <c r="F149" s="25" t="s">
        <v>19</v>
      </c>
      <c r="G149" s="24">
        <v>79.5</v>
      </c>
      <c r="H149" s="26">
        <v>1</v>
      </c>
    </row>
    <row r="150" spans="1:8">
      <c r="A150" s="27">
        <v>45</v>
      </c>
      <c r="B150" s="27"/>
      <c r="C150" s="27">
        <v>153</v>
      </c>
      <c r="D150" s="27">
        <v>81</v>
      </c>
      <c r="E150" s="27">
        <v>4.3</v>
      </c>
      <c r="F150" s="28" t="s">
        <v>19</v>
      </c>
      <c r="G150" s="27">
        <v>31.2</v>
      </c>
      <c r="H150" s="27">
        <v>0</v>
      </c>
    </row>
    <row r="151" spans="1:8">
      <c r="A151" s="24">
        <v>74</v>
      </c>
      <c r="B151" s="24">
        <v>28.7</v>
      </c>
      <c r="C151" s="24">
        <v>172</v>
      </c>
      <c r="D151" s="24">
        <v>127</v>
      </c>
      <c r="E151" s="24"/>
      <c r="F151" s="25" t="s">
        <v>19</v>
      </c>
      <c r="G151" s="24">
        <v>189</v>
      </c>
      <c r="H151" s="26">
        <v>1</v>
      </c>
    </row>
    <row r="152" spans="1:8">
      <c r="A152" s="27">
        <v>34</v>
      </c>
      <c r="B152" s="27">
        <v>22.5</v>
      </c>
      <c r="C152" s="27">
        <v>200</v>
      </c>
      <c r="D152" s="27">
        <v>74</v>
      </c>
      <c r="E152" s="27">
        <v>1.4</v>
      </c>
      <c r="F152" s="28" t="s">
        <v>19</v>
      </c>
      <c r="G152" s="27">
        <v>94.3</v>
      </c>
      <c r="H152" s="26">
        <v>1</v>
      </c>
    </row>
    <row r="153" spans="1:8">
      <c r="A153" s="24">
        <v>72</v>
      </c>
      <c r="B153" s="24">
        <v>22</v>
      </c>
      <c r="C153" s="24">
        <v>96</v>
      </c>
      <c r="D153" s="24">
        <v>78</v>
      </c>
      <c r="E153" s="24">
        <v>1.2</v>
      </c>
      <c r="F153" s="25" t="s">
        <v>19</v>
      </c>
      <c r="G153" s="24">
        <v>192.5</v>
      </c>
      <c r="H153" s="24">
        <v>0</v>
      </c>
    </row>
    <row r="154" spans="1:8">
      <c r="A154" s="27">
        <v>61</v>
      </c>
      <c r="B154" s="27"/>
      <c r="C154" s="27">
        <v>196</v>
      </c>
      <c r="D154" s="27">
        <v>119</v>
      </c>
      <c r="E154" s="27">
        <v>5.3</v>
      </c>
      <c r="F154" s="28" t="s">
        <v>19</v>
      </c>
      <c r="G154" s="27">
        <v>173.5</v>
      </c>
      <c r="H154" s="26">
        <v>1</v>
      </c>
    </row>
    <row r="155" spans="1:8">
      <c r="A155" s="24">
        <v>76</v>
      </c>
      <c r="B155" s="24">
        <v>33.4</v>
      </c>
      <c r="C155" s="24">
        <v>152</v>
      </c>
      <c r="D155" s="24">
        <v>100</v>
      </c>
      <c r="E155" s="24">
        <v>0.5</v>
      </c>
      <c r="F155" s="25" t="s">
        <v>19</v>
      </c>
      <c r="G155" s="24">
        <v>161.5</v>
      </c>
      <c r="H155" s="26">
        <v>1</v>
      </c>
    </row>
    <row r="156" spans="1:8">
      <c r="A156" s="27">
        <v>70</v>
      </c>
      <c r="B156" s="27">
        <v>19.8</v>
      </c>
      <c r="C156" s="27">
        <v>199</v>
      </c>
      <c r="D156" s="27">
        <v>69</v>
      </c>
      <c r="E156" s="27">
        <v>3.2</v>
      </c>
      <c r="F156" s="28" t="s">
        <v>18</v>
      </c>
      <c r="G156" s="27">
        <v>98.5</v>
      </c>
      <c r="H156" s="26">
        <v>1</v>
      </c>
    </row>
    <row r="157" spans="1:8">
      <c r="A157" s="24">
        <v>38</v>
      </c>
      <c r="B157" s="24"/>
      <c r="C157" s="24">
        <v>93</v>
      </c>
      <c r="D157" s="24">
        <v>124</v>
      </c>
      <c r="E157" s="24">
        <v>4.0999999999999996</v>
      </c>
      <c r="F157" s="25" t="s">
        <v>18</v>
      </c>
      <c r="G157" s="24">
        <v>117.9</v>
      </c>
      <c r="H157" s="24">
        <v>0</v>
      </c>
    </row>
    <row r="158" spans="1:8">
      <c r="A158" s="27">
        <v>71</v>
      </c>
      <c r="B158" s="27">
        <v>22.9</v>
      </c>
      <c r="C158" s="27">
        <v>191</v>
      </c>
      <c r="D158" s="27">
        <v>124</v>
      </c>
      <c r="E158" s="27">
        <v>0.4</v>
      </c>
      <c r="F158" s="28" t="s">
        <v>18</v>
      </c>
      <c r="G158" s="27">
        <v>204.6</v>
      </c>
      <c r="H158" s="26">
        <v>1</v>
      </c>
    </row>
    <row r="159" spans="1:8">
      <c r="A159" s="24">
        <v>73</v>
      </c>
      <c r="B159" s="24">
        <v>35.299999999999997</v>
      </c>
      <c r="C159" s="24">
        <v>199</v>
      </c>
      <c r="D159" s="24">
        <v>82</v>
      </c>
      <c r="E159" s="24"/>
      <c r="F159" s="25" t="s">
        <v>19</v>
      </c>
      <c r="G159" s="24">
        <v>247.8</v>
      </c>
      <c r="H159" s="26">
        <v>1</v>
      </c>
    </row>
    <row r="160" spans="1:8">
      <c r="A160" s="27">
        <v>53</v>
      </c>
      <c r="B160" s="27">
        <v>22.2</v>
      </c>
      <c r="C160" s="27">
        <v>165</v>
      </c>
      <c r="D160" s="27">
        <v>96</v>
      </c>
      <c r="E160" s="27">
        <v>5.4</v>
      </c>
      <c r="F160" s="28" t="s">
        <v>18</v>
      </c>
      <c r="G160" s="27">
        <v>199.4</v>
      </c>
      <c r="H160" s="26">
        <v>1</v>
      </c>
    </row>
    <row r="161" spans="1:8">
      <c r="A161" s="24">
        <v>61</v>
      </c>
      <c r="B161" s="24">
        <v>26.2</v>
      </c>
      <c r="C161" s="24">
        <v>168</v>
      </c>
      <c r="D161" s="24">
        <v>96</v>
      </c>
      <c r="E161" s="24">
        <v>6</v>
      </c>
      <c r="F161" s="25" t="s">
        <v>19</v>
      </c>
      <c r="G161" s="24">
        <v>90</v>
      </c>
      <c r="H161" s="26">
        <v>1</v>
      </c>
    </row>
    <row r="162" spans="1:8">
      <c r="A162" s="27">
        <v>57</v>
      </c>
      <c r="B162" s="27">
        <v>40</v>
      </c>
      <c r="C162" s="27">
        <v>149</v>
      </c>
      <c r="D162" s="27">
        <v>110</v>
      </c>
      <c r="E162" s="27">
        <v>5</v>
      </c>
      <c r="F162" s="28" t="s">
        <v>18</v>
      </c>
      <c r="G162" s="27">
        <v>84.3</v>
      </c>
      <c r="H162" s="26">
        <v>1</v>
      </c>
    </row>
    <row r="163" spans="1:8">
      <c r="A163" s="24">
        <v>44</v>
      </c>
      <c r="B163" s="24">
        <v>26.2</v>
      </c>
      <c r="C163" s="24">
        <v>102</v>
      </c>
      <c r="D163" s="24">
        <v>127</v>
      </c>
      <c r="E163" s="24"/>
      <c r="F163" s="25" t="s">
        <v>19</v>
      </c>
      <c r="G163" s="24">
        <v>132</v>
      </c>
      <c r="H163" s="24">
        <v>0</v>
      </c>
    </row>
    <row r="164" spans="1:8">
      <c r="A164" s="27">
        <v>21</v>
      </c>
      <c r="B164" s="27">
        <v>22.7</v>
      </c>
      <c r="C164" s="27">
        <v>124</v>
      </c>
      <c r="D164" s="27">
        <v>103</v>
      </c>
      <c r="E164" s="27">
        <v>3.4</v>
      </c>
      <c r="F164" s="28" t="s">
        <v>19</v>
      </c>
      <c r="G164" s="27">
        <v>250</v>
      </c>
      <c r="H164" s="27">
        <v>0</v>
      </c>
    </row>
    <row r="165" spans="1:8">
      <c r="A165" s="24">
        <v>29</v>
      </c>
      <c r="B165" s="24"/>
      <c r="C165" s="24">
        <v>95</v>
      </c>
      <c r="D165" s="24">
        <v>124</v>
      </c>
      <c r="E165" s="24">
        <v>5.8</v>
      </c>
      <c r="F165" s="25" t="s">
        <v>18</v>
      </c>
      <c r="G165" s="24">
        <v>168.9</v>
      </c>
      <c r="H165" s="24">
        <v>0</v>
      </c>
    </row>
    <row r="166" spans="1:8">
      <c r="A166" s="27">
        <v>76</v>
      </c>
      <c r="B166" s="27">
        <v>21.6</v>
      </c>
      <c r="C166" s="27">
        <v>166</v>
      </c>
      <c r="D166" s="27">
        <v>79</v>
      </c>
      <c r="E166" s="27">
        <v>5.8</v>
      </c>
      <c r="F166" s="28" t="s">
        <v>19</v>
      </c>
      <c r="G166" s="27">
        <v>183.1</v>
      </c>
      <c r="H166" s="26">
        <v>1</v>
      </c>
    </row>
    <row r="167" spans="1:8">
      <c r="A167" s="24">
        <v>22</v>
      </c>
      <c r="B167" s="24">
        <v>34.4</v>
      </c>
      <c r="C167" s="24">
        <v>130</v>
      </c>
      <c r="D167" s="24">
        <v>116</v>
      </c>
      <c r="E167" s="24">
        <v>5.3</v>
      </c>
      <c r="F167" s="25" t="s">
        <v>19</v>
      </c>
      <c r="G167" s="24">
        <v>66.2</v>
      </c>
      <c r="H167" s="26">
        <v>1</v>
      </c>
    </row>
    <row r="168" spans="1:8">
      <c r="A168" s="27">
        <v>35</v>
      </c>
      <c r="B168" s="27">
        <v>37.5</v>
      </c>
      <c r="C168" s="27">
        <v>190</v>
      </c>
      <c r="D168" s="27">
        <v>84</v>
      </c>
      <c r="E168" s="27">
        <v>6.6</v>
      </c>
      <c r="F168" s="28" t="s">
        <v>19</v>
      </c>
      <c r="G168" s="27">
        <v>120.8</v>
      </c>
      <c r="H168" s="26">
        <v>1</v>
      </c>
    </row>
    <row r="169" spans="1:8">
      <c r="A169" s="24">
        <v>38</v>
      </c>
      <c r="B169" s="24">
        <v>30.3</v>
      </c>
      <c r="C169" s="24">
        <v>177</v>
      </c>
      <c r="D169" s="24">
        <v>80</v>
      </c>
      <c r="E169" s="24">
        <v>5.6</v>
      </c>
      <c r="F169" s="25" t="s">
        <v>19</v>
      </c>
      <c r="G169" s="24">
        <v>219.5</v>
      </c>
      <c r="H169" s="26">
        <v>1</v>
      </c>
    </row>
    <row r="170" spans="1:8">
      <c r="A170" s="27">
        <v>23</v>
      </c>
      <c r="B170" s="27">
        <v>39</v>
      </c>
      <c r="C170" s="27">
        <v>96</v>
      </c>
      <c r="D170" s="27">
        <v>126</v>
      </c>
      <c r="E170" s="27">
        <v>2</v>
      </c>
      <c r="F170" s="28" t="s">
        <v>19</v>
      </c>
      <c r="G170" s="27">
        <v>75.5</v>
      </c>
      <c r="H170" s="27">
        <v>0</v>
      </c>
    </row>
    <row r="171" spans="1:8">
      <c r="A171" s="24">
        <v>77</v>
      </c>
      <c r="B171" s="24">
        <v>38</v>
      </c>
      <c r="C171" s="24">
        <v>93</v>
      </c>
      <c r="D171" s="24">
        <v>88</v>
      </c>
      <c r="E171" s="24">
        <v>6.2</v>
      </c>
      <c r="F171" s="25" t="s">
        <v>18</v>
      </c>
      <c r="G171" s="24">
        <v>109.6</v>
      </c>
      <c r="H171" s="26">
        <v>1</v>
      </c>
    </row>
    <row r="172" spans="1:8">
      <c r="A172" s="27">
        <v>45</v>
      </c>
      <c r="B172" s="27">
        <v>24</v>
      </c>
      <c r="C172" s="27">
        <v>90</v>
      </c>
      <c r="D172" s="27">
        <v>107</v>
      </c>
      <c r="E172" s="27">
        <v>2.2000000000000002</v>
      </c>
      <c r="F172" s="28" t="s">
        <v>18</v>
      </c>
      <c r="G172" s="27">
        <v>211.4</v>
      </c>
      <c r="H172" s="27">
        <v>0</v>
      </c>
    </row>
    <row r="173" spans="1:8">
      <c r="A173" s="24">
        <v>61</v>
      </c>
      <c r="B173" s="24">
        <v>21.9</v>
      </c>
      <c r="C173" s="24">
        <v>79</v>
      </c>
      <c r="D173" s="24">
        <v>96</v>
      </c>
      <c r="E173" s="24">
        <v>3.3</v>
      </c>
      <c r="F173" s="25" t="s">
        <v>19</v>
      </c>
      <c r="G173" s="24">
        <v>192.1</v>
      </c>
      <c r="H173" s="24">
        <v>0</v>
      </c>
    </row>
    <row r="174" spans="1:8">
      <c r="A174" s="27">
        <v>50</v>
      </c>
      <c r="B174" s="27">
        <v>18.600000000000001</v>
      </c>
      <c r="C174" s="27">
        <v>90</v>
      </c>
      <c r="D174" s="27">
        <v>62</v>
      </c>
      <c r="E174" s="27">
        <v>5.8</v>
      </c>
      <c r="F174" s="28" t="s">
        <v>19</v>
      </c>
      <c r="G174" s="27">
        <v>36.700000000000003</v>
      </c>
      <c r="H174" s="27">
        <v>0</v>
      </c>
    </row>
    <row r="175" spans="1:8">
      <c r="A175" s="24">
        <v>38</v>
      </c>
      <c r="B175" s="24">
        <v>21.4</v>
      </c>
      <c r="C175" s="24">
        <v>131</v>
      </c>
      <c r="D175" s="24">
        <v>113</v>
      </c>
      <c r="E175" s="24">
        <v>4.4000000000000004</v>
      </c>
      <c r="F175" s="25" t="s">
        <v>18</v>
      </c>
      <c r="G175" s="24">
        <v>36.6</v>
      </c>
      <c r="H175" s="26">
        <v>1</v>
      </c>
    </row>
    <row r="176" spans="1:8">
      <c r="A176" s="27">
        <v>77</v>
      </c>
      <c r="B176" s="27">
        <v>31.1</v>
      </c>
      <c r="C176" s="27">
        <v>131</v>
      </c>
      <c r="D176" s="27">
        <v>78</v>
      </c>
      <c r="E176" s="27">
        <v>0</v>
      </c>
      <c r="F176" s="28" t="s">
        <v>19</v>
      </c>
      <c r="G176" s="27">
        <v>67.7</v>
      </c>
      <c r="H176" s="26">
        <v>1</v>
      </c>
    </row>
    <row r="177" spans="1:8">
      <c r="A177" s="24">
        <v>46</v>
      </c>
      <c r="B177" s="24">
        <v>34.200000000000003</v>
      </c>
      <c r="C177" s="24">
        <v>162</v>
      </c>
      <c r="D177" s="24">
        <v>68</v>
      </c>
      <c r="E177" s="24">
        <v>3.8</v>
      </c>
      <c r="F177" s="25" t="s">
        <v>18</v>
      </c>
      <c r="G177" s="24">
        <v>103.7</v>
      </c>
      <c r="H177" s="26">
        <v>1</v>
      </c>
    </row>
    <row r="178" spans="1:8">
      <c r="A178" s="27">
        <v>50</v>
      </c>
      <c r="B178" s="27"/>
      <c r="C178" s="27">
        <v>169</v>
      </c>
      <c r="D178" s="27">
        <v>107</v>
      </c>
      <c r="E178" s="27">
        <v>0.1</v>
      </c>
      <c r="F178" s="28" t="s">
        <v>18</v>
      </c>
      <c r="G178" s="27">
        <v>92.8</v>
      </c>
      <c r="H178" s="26">
        <v>1</v>
      </c>
    </row>
    <row r="179" spans="1:8">
      <c r="A179" s="24">
        <v>66</v>
      </c>
      <c r="B179" s="24">
        <v>20.9</v>
      </c>
      <c r="C179" s="24">
        <v>155</v>
      </c>
      <c r="D179" s="24">
        <v>77</v>
      </c>
      <c r="E179" s="24"/>
      <c r="F179" s="25" t="s">
        <v>19</v>
      </c>
      <c r="G179" s="24">
        <v>205.2</v>
      </c>
      <c r="H179" s="26">
        <v>1</v>
      </c>
    </row>
    <row r="180" spans="1:8">
      <c r="A180" s="27">
        <v>31</v>
      </c>
      <c r="B180" s="27">
        <v>34.6</v>
      </c>
      <c r="C180" s="27">
        <v>192</v>
      </c>
      <c r="D180" s="27">
        <v>83</v>
      </c>
      <c r="E180" s="27">
        <v>0.4</v>
      </c>
      <c r="F180" s="28" t="s">
        <v>19</v>
      </c>
      <c r="G180" s="27">
        <v>18.899999999999999</v>
      </c>
      <c r="H180" s="26">
        <v>1</v>
      </c>
    </row>
    <row r="181" spans="1:8">
      <c r="A181" s="24">
        <v>32</v>
      </c>
      <c r="B181" s="24"/>
      <c r="C181" s="24">
        <v>121</v>
      </c>
      <c r="D181" s="24">
        <v>65</v>
      </c>
      <c r="E181" s="24">
        <v>2.2000000000000002</v>
      </c>
      <c r="F181" s="25" t="s">
        <v>19</v>
      </c>
      <c r="G181" s="24">
        <v>247.4</v>
      </c>
      <c r="H181" s="24">
        <v>0</v>
      </c>
    </row>
    <row r="182" spans="1:8">
      <c r="A182" s="27">
        <v>54</v>
      </c>
      <c r="B182" s="27">
        <v>19.399999999999999</v>
      </c>
      <c r="C182" s="27">
        <v>118</v>
      </c>
      <c r="D182" s="27">
        <v>96</v>
      </c>
      <c r="E182" s="27">
        <v>5.5</v>
      </c>
      <c r="F182" s="28" t="s">
        <v>19</v>
      </c>
      <c r="G182" s="27">
        <v>75.599999999999994</v>
      </c>
      <c r="H182" s="27">
        <v>0</v>
      </c>
    </row>
    <row r="183" spans="1:8">
      <c r="A183" s="24">
        <v>71</v>
      </c>
      <c r="B183" s="24">
        <v>39.4</v>
      </c>
      <c r="C183" s="24">
        <v>182</v>
      </c>
      <c r="D183" s="24">
        <v>109</v>
      </c>
      <c r="E183" s="24">
        <v>1.3</v>
      </c>
      <c r="F183" s="25" t="s">
        <v>19</v>
      </c>
      <c r="G183" s="24">
        <v>98.2</v>
      </c>
      <c r="H183" s="26">
        <v>1</v>
      </c>
    </row>
    <row r="184" spans="1:8">
      <c r="A184" s="27">
        <v>71</v>
      </c>
      <c r="B184" s="27">
        <v>37.299999999999997</v>
      </c>
      <c r="C184" s="27">
        <v>178</v>
      </c>
      <c r="D184" s="27">
        <v>70</v>
      </c>
      <c r="E184" s="27">
        <v>7</v>
      </c>
      <c r="F184" s="28" t="s">
        <v>19</v>
      </c>
      <c r="G184" s="27">
        <v>140.9</v>
      </c>
      <c r="H184" s="26">
        <v>1</v>
      </c>
    </row>
    <row r="185" spans="1:8">
      <c r="A185" s="24">
        <v>40</v>
      </c>
      <c r="B185" s="24">
        <v>26.2</v>
      </c>
      <c r="C185" s="24">
        <v>145</v>
      </c>
      <c r="D185" s="24">
        <v>99</v>
      </c>
      <c r="E185" s="24">
        <v>5</v>
      </c>
      <c r="F185" s="25" t="s">
        <v>19</v>
      </c>
      <c r="G185" s="24">
        <v>175.5</v>
      </c>
      <c r="H185" s="26">
        <v>1</v>
      </c>
    </row>
    <row r="186" spans="1:8">
      <c r="A186" s="27">
        <v>42</v>
      </c>
      <c r="B186" s="27">
        <v>35.6</v>
      </c>
      <c r="C186" s="27">
        <v>160</v>
      </c>
      <c r="D186" s="27">
        <v>115</v>
      </c>
      <c r="E186" s="27">
        <v>6.9</v>
      </c>
      <c r="F186" s="28" t="s">
        <v>18</v>
      </c>
      <c r="G186" s="27">
        <v>28</v>
      </c>
      <c r="H186" s="26">
        <v>1</v>
      </c>
    </row>
    <row r="187" spans="1:8">
      <c r="A187" s="24">
        <v>60</v>
      </c>
      <c r="B187" s="24">
        <v>30.6</v>
      </c>
      <c r="C187" s="24">
        <v>110</v>
      </c>
      <c r="D187" s="24">
        <v>63</v>
      </c>
      <c r="E187" s="24">
        <v>4.3</v>
      </c>
      <c r="F187" s="25" t="s">
        <v>19</v>
      </c>
      <c r="G187" s="24">
        <v>18.399999999999999</v>
      </c>
      <c r="H187" s="26">
        <v>1</v>
      </c>
    </row>
    <row r="188" spans="1:8">
      <c r="A188" s="27">
        <v>24</v>
      </c>
      <c r="B188" s="27">
        <v>33.700000000000003</v>
      </c>
      <c r="C188" s="27">
        <v>162</v>
      </c>
      <c r="D188" s="27">
        <v>109</v>
      </c>
      <c r="E188" s="27">
        <v>0.2</v>
      </c>
      <c r="F188" s="28" t="s">
        <v>19</v>
      </c>
      <c r="G188" s="27">
        <v>173</v>
      </c>
      <c r="H188" s="26">
        <v>1</v>
      </c>
    </row>
    <row r="189" spans="1:8">
      <c r="A189" s="24">
        <v>43</v>
      </c>
      <c r="B189" s="24">
        <v>36.4</v>
      </c>
      <c r="C189" s="24">
        <v>105</v>
      </c>
      <c r="D189" s="24">
        <v>127</v>
      </c>
      <c r="E189" s="24">
        <v>2.2000000000000002</v>
      </c>
      <c r="F189" s="25" t="s">
        <v>19</v>
      </c>
      <c r="G189" s="24">
        <v>69.900000000000006</v>
      </c>
      <c r="H189" s="24">
        <v>0</v>
      </c>
    </row>
    <row r="190" spans="1:8">
      <c r="A190" s="27">
        <v>27</v>
      </c>
      <c r="B190" s="27"/>
      <c r="C190" s="27">
        <v>117</v>
      </c>
      <c r="D190" s="27">
        <v>123</v>
      </c>
      <c r="E190" s="27">
        <v>6.4</v>
      </c>
      <c r="F190" s="28" t="s">
        <v>18</v>
      </c>
      <c r="G190" s="27">
        <v>72.8</v>
      </c>
      <c r="H190" s="27">
        <v>0</v>
      </c>
    </row>
    <row r="191" spans="1:8">
      <c r="A191" s="24">
        <v>36</v>
      </c>
      <c r="B191" s="24">
        <v>23.5</v>
      </c>
      <c r="C191" s="24">
        <v>143</v>
      </c>
      <c r="D191" s="24">
        <v>122</v>
      </c>
      <c r="E191" s="24">
        <v>1</v>
      </c>
      <c r="F191" s="25" t="s">
        <v>18</v>
      </c>
      <c r="G191" s="24">
        <v>118.5</v>
      </c>
      <c r="H191" s="26">
        <v>1</v>
      </c>
    </row>
    <row r="192" spans="1:8">
      <c r="A192" s="27">
        <v>77</v>
      </c>
      <c r="B192" s="27">
        <v>41.9</v>
      </c>
      <c r="C192" s="27">
        <v>151</v>
      </c>
      <c r="D192" s="27">
        <v>104</v>
      </c>
      <c r="E192" s="27">
        <v>3.8</v>
      </c>
      <c r="F192" s="28" t="s">
        <v>19</v>
      </c>
      <c r="G192" s="27">
        <v>223.9</v>
      </c>
      <c r="H192" s="26">
        <v>1</v>
      </c>
    </row>
    <row r="193" spans="1:8">
      <c r="A193" s="24">
        <v>74</v>
      </c>
      <c r="B193" s="24">
        <v>35.200000000000003</v>
      </c>
      <c r="C193" s="24">
        <v>114</v>
      </c>
      <c r="D193" s="24">
        <v>106</v>
      </c>
      <c r="E193" s="24">
        <v>0.8</v>
      </c>
      <c r="F193" s="25" t="s">
        <v>19</v>
      </c>
      <c r="G193" s="24">
        <v>200.1</v>
      </c>
      <c r="H193" s="26">
        <v>1</v>
      </c>
    </row>
    <row r="194" spans="1:8">
      <c r="A194" s="27">
        <v>35</v>
      </c>
      <c r="B194" s="27">
        <v>19.100000000000001</v>
      </c>
      <c r="C194" s="27">
        <v>164</v>
      </c>
      <c r="D194" s="27">
        <v>119</v>
      </c>
      <c r="E194" s="27">
        <v>3.9</v>
      </c>
      <c r="F194" s="28" t="s">
        <v>18</v>
      </c>
      <c r="G194" s="27">
        <v>25.8</v>
      </c>
      <c r="H194" s="26">
        <v>1</v>
      </c>
    </row>
    <row r="195" spans="1:8">
      <c r="A195" s="24">
        <v>45</v>
      </c>
      <c r="B195" s="24">
        <v>35.4</v>
      </c>
      <c r="C195" s="24">
        <v>175</v>
      </c>
      <c r="D195" s="24">
        <v>112</v>
      </c>
      <c r="E195" s="24">
        <v>0.5</v>
      </c>
      <c r="F195" s="25" t="s">
        <v>19</v>
      </c>
      <c r="G195" s="24">
        <v>164.2</v>
      </c>
      <c r="H195" s="26">
        <v>1</v>
      </c>
    </row>
    <row r="196" spans="1:8">
      <c r="A196" s="27">
        <v>48</v>
      </c>
      <c r="B196" s="27">
        <v>30.7</v>
      </c>
      <c r="C196" s="27">
        <v>102</v>
      </c>
      <c r="D196" s="27">
        <v>130</v>
      </c>
      <c r="E196" s="27">
        <v>1.3</v>
      </c>
      <c r="F196" s="28" t="s">
        <v>19</v>
      </c>
      <c r="G196" s="27">
        <v>113.8</v>
      </c>
      <c r="H196" s="26">
        <v>1</v>
      </c>
    </row>
    <row r="197" spans="1:8">
      <c r="A197" s="24">
        <v>78</v>
      </c>
      <c r="B197" s="24">
        <v>38</v>
      </c>
      <c r="C197" s="24">
        <v>109</v>
      </c>
      <c r="D197" s="24">
        <v>98</v>
      </c>
      <c r="E197" s="24">
        <v>2.2999999999999998</v>
      </c>
      <c r="F197" s="25" t="s">
        <v>19</v>
      </c>
      <c r="G197" s="24">
        <v>93</v>
      </c>
      <c r="H197" s="26">
        <v>1</v>
      </c>
    </row>
    <row r="198" spans="1:8">
      <c r="A198" s="27">
        <v>53</v>
      </c>
      <c r="B198" s="27">
        <v>38.4</v>
      </c>
      <c r="C198" s="27">
        <v>134</v>
      </c>
      <c r="D198" s="27">
        <v>85</v>
      </c>
      <c r="E198" s="27">
        <v>3.9</v>
      </c>
      <c r="F198" s="28" t="s">
        <v>19</v>
      </c>
      <c r="G198" s="27">
        <v>160</v>
      </c>
      <c r="H198" s="26">
        <v>1</v>
      </c>
    </row>
    <row r="199" spans="1:8">
      <c r="A199" s="24">
        <v>59</v>
      </c>
      <c r="B199" s="24">
        <v>30.3</v>
      </c>
      <c r="C199" s="24">
        <v>113</v>
      </c>
      <c r="D199" s="24">
        <v>79</v>
      </c>
      <c r="E199" s="24">
        <v>4.4000000000000004</v>
      </c>
      <c r="F199" s="25" t="s">
        <v>19</v>
      </c>
      <c r="G199" s="24">
        <v>212.2</v>
      </c>
      <c r="H199" s="26">
        <v>1</v>
      </c>
    </row>
    <row r="200" spans="1:8">
      <c r="A200" s="27">
        <v>56</v>
      </c>
      <c r="B200" s="27"/>
      <c r="C200" s="27">
        <v>77</v>
      </c>
      <c r="D200" s="27">
        <v>70</v>
      </c>
      <c r="E200" s="27"/>
      <c r="F200" s="28" t="s">
        <v>19</v>
      </c>
      <c r="G200" s="27">
        <v>166.3</v>
      </c>
      <c r="H200" s="27">
        <v>0</v>
      </c>
    </row>
    <row r="201" spans="1:8">
      <c r="A201" s="24">
        <v>69</v>
      </c>
      <c r="B201" s="24">
        <v>33</v>
      </c>
      <c r="C201" s="24">
        <v>77</v>
      </c>
      <c r="D201" s="24">
        <v>123</v>
      </c>
      <c r="E201" s="24">
        <v>3.8</v>
      </c>
      <c r="F201" s="25" t="s">
        <v>19</v>
      </c>
      <c r="G201" s="24">
        <v>125.9</v>
      </c>
      <c r="H201" s="24">
        <v>0</v>
      </c>
    </row>
    <row r="202" spans="1:8">
      <c r="A202" s="27">
        <v>71</v>
      </c>
      <c r="B202" s="27">
        <v>28</v>
      </c>
      <c r="C202" s="27">
        <v>186</v>
      </c>
      <c r="D202" s="27">
        <v>69</v>
      </c>
      <c r="E202" s="27">
        <v>1.1000000000000001</v>
      </c>
      <c r="F202" s="28" t="s">
        <v>19</v>
      </c>
      <c r="G202" s="27">
        <v>126.2</v>
      </c>
      <c r="H202" s="26">
        <v>1</v>
      </c>
    </row>
    <row r="203" spans="1:8">
      <c r="A203" s="24">
        <v>33</v>
      </c>
      <c r="B203" s="24">
        <v>21.9</v>
      </c>
      <c r="C203" s="24">
        <v>151</v>
      </c>
      <c r="D203" s="24">
        <v>104</v>
      </c>
      <c r="E203" s="24">
        <v>0.9</v>
      </c>
      <c r="F203" s="25" t="s">
        <v>19</v>
      </c>
      <c r="G203" s="24">
        <v>133.6</v>
      </c>
      <c r="H203" s="26">
        <v>1</v>
      </c>
    </row>
    <row r="204" spans="1:8">
      <c r="A204" s="27">
        <v>26</v>
      </c>
      <c r="B204" s="27">
        <v>29.5</v>
      </c>
      <c r="C204" s="27">
        <v>138</v>
      </c>
      <c r="D204" s="27">
        <v>117</v>
      </c>
      <c r="E204" s="27">
        <v>0.7</v>
      </c>
      <c r="F204" s="28" t="s">
        <v>19</v>
      </c>
      <c r="G204" s="27">
        <v>236.9</v>
      </c>
      <c r="H204" s="26">
        <v>1</v>
      </c>
    </row>
  </sheetData>
  <mergeCells count="2">
    <mergeCell ref="A1:H1"/>
    <mergeCell ref="A2:H2"/>
  </mergeCells>
  <phoneticPr fontId="3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zoomScaleNormal="100" workbookViewId="0"/>
  </sheetViews>
  <sheetFormatPr defaultColWidth="8.7109375" defaultRowHeight="15"/>
  <cols>
    <col min="1" max="1" width="6" customWidth="1"/>
    <col min="2" max="2" width="28" customWidth="1"/>
    <col min="3" max="3" width="52" customWidth="1"/>
    <col min="4" max="4" width="22" customWidth="1"/>
  </cols>
  <sheetData>
    <row r="1" spans="1:4" ht="33.75" customHeight="1">
      <c r="A1" s="10" t="s">
        <v>20</v>
      </c>
      <c r="B1" s="10"/>
      <c r="C1" s="10"/>
      <c r="D1" s="10"/>
    </row>
    <row r="2" spans="1:4" ht="15" customHeight="1">
      <c r="A2" s="8" t="s">
        <v>21</v>
      </c>
      <c r="B2" s="8"/>
      <c r="C2" s="8"/>
      <c r="D2" s="8"/>
    </row>
    <row r="3" spans="1:4" ht="3.75" customHeight="1"/>
    <row r="4" spans="1:4" ht="37.5" customHeight="1">
      <c r="A4" s="29" t="s">
        <v>22</v>
      </c>
      <c r="B4" s="30" t="s">
        <v>23</v>
      </c>
      <c r="C4" s="31" t="s">
        <v>24</v>
      </c>
      <c r="D4" s="31" t="s">
        <v>25</v>
      </c>
    </row>
    <row r="5" spans="1:4" ht="57.75" customHeight="1">
      <c r="A5" s="12" t="s">
        <v>26</v>
      </c>
      <c r="B5" s="32" t="s">
        <v>27</v>
      </c>
      <c r="C5" s="33" t="s">
        <v>28</v>
      </c>
      <c r="D5" s="34" t="s">
        <v>29</v>
      </c>
    </row>
    <row r="6" spans="1:4" ht="57.75" customHeight="1">
      <c r="A6" s="35" t="s">
        <v>30</v>
      </c>
      <c r="B6" s="36" t="s">
        <v>31</v>
      </c>
      <c r="C6" s="33" t="s">
        <v>32</v>
      </c>
      <c r="D6" s="37" t="s">
        <v>33</v>
      </c>
    </row>
    <row r="7" spans="1:4" ht="57.75" customHeight="1">
      <c r="A7" s="38" t="s">
        <v>34</v>
      </c>
      <c r="B7" s="39" t="s">
        <v>35</v>
      </c>
      <c r="C7" s="40" t="s">
        <v>36</v>
      </c>
      <c r="D7" s="37" t="s">
        <v>37</v>
      </c>
    </row>
    <row r="8" spans="1:4" ht="57.75" customHeight="1">
      <c r="A8" s="41" t="s">
        <v>38</v>
      </c>
      <c r="B8" s="42" t="s">
        <v>39</v>
      </c>
      <c r="C8" s="33" t="s">
        <v>40</v>
      </c>
      <c r="D8" s="34" t="s">
        <v>41</v>
      </c>
    </row>
    <row r="9" spans="1:4" ht="57.75" customHeight="1">
      <c r="A9" s="43" t="s">
        <v>42</v>
      </c>
      <c r="B9" s="44" t="s">
        <v>43</v>
      </c>
      <c r="C9" s="33" t="s">
        <v>44</v>
      </c>
      <c r="D9" s="37" t="s">
        <v>45</v>
      </c>
    </row>
    <row r="10" spans="1:4" ht="57.75" customHeight="1">
      <c r="A10" s="45" t="s">
        <v>46</v>
      </c>
      <c r="B10" s="46" t="s">
        <v>47</v>
      </c>
      <c r="C10" s="33" t="s">
        <v>48</v>
      </c>
      <c r="D10" s="34" t="s">
        <v>49</v>
      </c>
    </row>
    <row r="11" spans="1:4" ht="57.75" customHeight="1">
      <c r="A11" s="38" t="s">
        <v>50</v>
      </c>
      <c r="B11" s="47" t="s">
        <v>51</v>
      </c>
      <c r="C11" s="33" t="s">
        <v>52</v>
      </c>
      <c r="D11" s="34" t="s">
        <v>53</v>
      </c>
    </row>
    <row r="12" spans="1:4" ht="57.75" customHeight="1">
      <c r="A12" s="41" t="s">
        <v>54</v>
      </c>
      <c r="B12" s="42" t="s">
        <v>55</v>
      </c>
      <c r="C12" s="33" t="s">
        <v>56</v>
      </c>
      <c r="D12" s="37" t="s">
        <v>57</v>
      </c>
    </row>
  </sheetData>
  <mergeCells count="2">
    <mergeCell ref="A1:D1"/>
    <mergeCell ref="A2:D2"/>
  </mergeCells>
  <phoneticPr fontId="3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zoomScaleNormal="100" workbookViewId="0"/>
  </sheetViews>
  <sheetFormatPr defaultColWidth="8.7109375" defaultRowHeight="15"/>
  <cols>
    <col min="1" max="1" width="14" customWidth="1"/>
    <col min="2" max="6" width="15" customWidth="1"/>
  </cols>
  <sheetData>
    <row r="1" spans="1:6" ht="30" customHeight="1">
      <c r="A1" s="7" t="s">
        <v>58</v>
      </c>
      <c r="B1" s="7"/>
      <c r="C1" s="7"/>
      <c r="D1" s="7"/>
      <c r="E1" s="7"/>
      <c r="F1" s="7"/>
    </row>
    <row r="2" spans="1:6" ht="15" customHeight="1">
      <c r="A2" s="6" t="s">
        <v>59</v>
      </c>
      <c r="B2" s="6"/>
      <c r="C2" s="6"/>
      <c r="D2" s="6"/>
      <c r="E2" s="6"/>
      <c r="F2" s="6"/>
    </row>
    <row r="3" spans="1:6" ht="24" customHeight="1">
      <c r="A3" s="30" t="s">
        <v>60</v>
      </c>
      <c r="B3" s="11" t="s">
        <v>61</v>
      </c>
      <c r="C3" s="13" t="s">
        <v>62</v>
      </c>
      <c r="D3" s="16" t="s">
        <v>63</v>
      </c>
      <c r="E3" s="41" t="s">
        <v>64</v>
      </c>
      <c r="F3" s="14" t="s">
        <v>65</v>
      </c>
    </row>
    <row r="4" spans="1:6" ht="27.75" customHeight="1">
      <c r="A4" s="48">
        <v>0.3</v>
      </c>
      <c r="B4" s="49"/>
      <c r="C4" s="49"/>
      <c r="D4" s="49"/>
      <c r="E4" s="49"/>
      <c r="F4" s="50" t="s">
        <v>66</v>
      </c>
    </row>
    <row r="5" spans="1:6" ht="27.75" customHeight="1">
      <c r="A5" s="48">
        <v>0.4</v>
      </c>
      <c r="B5" s="49"/>
      <c r="C5" s="49"/>
      <c r="D5" s="49"/>
      <c r="E5" s="49"/>
      <c r="F5" s="51" t="s">
        <v>67</v>
      </c>
    </row>
    <row r="6" spans="1:6" ht="27.75" customHeight="1">
      <c r="A6" s="48">
        <v>0.5</v>
      </c>
      <c r="B6" s="49"/>
      <c r="C6" s="49"/>
      <c r="D6" s="49"/>
      <c r="E6" s="49"/>
      <c r="F6" s="52" t="s">
        <v>68</v>
      </c>
    </row>
    <row r="7" spans="1:6" ht="27.75" customHeight="1">
      <c r="A7" s="48">
        <v>0.6</v>
      </c>
      <c r="B7" s="49"/>
      <c r="C7" s="49"/>
      <c r="D7" s="49"/>
      <c r="E7" s="49"/>
      <c r="F7" s="51" t="s">
        <v>69</v>
      </c>
    </row>
    <row r="8" spans="1:6" ht="27.75" customHeight="1">
      <c r="A8" s="48">
        <v>0.7</v>
      </c>
      <c r="B8" s="49"/>
      <c r="C8" s="49"/>
      <c r="D8" s="49"/>
      <c r="E8" s="49"/>
      <c r="F8" s="50" t="s">
        <v>70</v>
      </c>
    </row>
    <row r="9" spans="1:6" ht="21.75" customHeight="1">
      <c r="A9" s="5" t="s">
        <v>71</v>
      </c>
      <c r="B9" s="5"/>
      <c r="C9" s="5"/>
      <c r="D9" s="5"/>
      <c r="E9" s="5"/>
      <c r="F9" s="5"/>
    </row>
  </sheetData>
  <mergeCells count="3">
    <mergeCell ref="A1:F1"/>
    <mergeCell ref="A2:F2"/>
    <mergeCell ref="A9:F9"/>
  </mergeCells>
  <phoneticPr fontId="3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zoomScaleNormal="100" workbookViewId="0"/>
  </sheetViews>
  <sheetFormatPr defaultColWidth="8.7109375" defaultRowHeight="15"/>
  <cols>
    <col min="1" max="1" width="22" customWidth="1"/>
    <col min="2" max="5" width="16" customWidth="1"/>
  </cols>
  <sheetData>
    <row r="1" spans="1:5" ht="30" customHeight="1">
      <c r="A1" s="4" t="s">
        <v>72</v>
      </c>
      <c r="B1" s="4"/>
      <c r="C1" s="4"/>
      <c r="D1" s="4"/>
      <c r="E1" s="4"/>
    </row>
    <row r="2" spans="1:5" ht="15" customHeight="1">
      <c r="A2" s="8" t="s">
        <v>73</v>
      </c>
      <c r="B2" s="8"/>
      <c r="C2" s="8"/>
      <c r="D2" s="8"/>
      <c r="E2" s="8"/>
    </row>
    <row r="3" spans="1:5" ht="24" customHeight="1">
      <c r="A3" s="30" t="s">
        <v>74</v>
      </c>
      <c r="B3" s="41" t="s">
        <v>75</v>
      </c>
      <c r="C3" s="38" t="s">
        <v>76</v>
      </c>
      <c r="D3" s="13" t="s">
        <v>77</v>
      </c>
      <c r="E3" s="53" t="s">
        <v>78</v>
      </c>
    </row>
    <row r="4" spans="1:5" ht="30" customHeight="1">
      <c r="A4" s="54" t="s">
        <v>79</v>
      </c>
      <c r="B4" s="55"/>
      <c r="C4" s="56"/>
      <c r="D4" s="57"/>
      <c r="E4" s="58" t="str">
        <f>IF(AND(B4="",C4="",D4=""),"입력 대기",IF(AND(B4&gt;=C4,B4&gt;=D4),"DT",IF(C4&gt;=D4,"RF","로지스틱")))</f>
        <v>입력 대기</v>
      </c>
    </row>
    <row r="5" spans="1:5" ht="30" customHeight="1">
      <c r="A5" s="54" t="s">
        <v>80</v>
      </c>
      <c r="B5" s="55"/>
      <c r="C5" s="56"/>
      <c r="D5" s="57"/>
      <c r="E5" s="58" t="str">
        <f>IF(AND(B5="",C5="",D5=""),"입력 대기",IF(AND(B5&gt;=C5,B5&gt;=D5),"DT",IF(C5&gt;=D5,"RF","로지스틱")))</f>
        <v>입력 대기</v>
      </c>
    </row>
    <row r="6" spans="1:5" ht="30" customHeight="1">
      <c r="A6" s="54" t="s">
        <v>81</v>
      </c>
      <c r="B6" s="55"/>
      <c r="C6" s="56"/>
      <c r="D6" s="57"/>
      <c r="E6" s="58" t="str">
        <f>IF(AND(B6="",C6="",D6=""),"입력 대기",IF(AND(B6&gt;=C6,B6&gt;=D6),"DT",IF(C6&gt;=D6,"RF","로지스틱")))</f>
        <v>입력 대기</v>
      </c>
    </row>
    <row r="7" spans="1:5" ht="30" customHeight="1">
      <c r="A7" s="59" t="s">
        <v>64</v>
      </c>
      <c r="B7" s="55"/>
      <c r="C7" s="56"/>
      <c r="D7" s="57"/>
      <c r="E7" s="58" t="str">
        <f>IF(AND(B7="",C7="",D7=""),"입력 대기",IF(AND(B7&gt;=C7,B7&gt;=D7),"DT",IF(C7&gt;=D7,"RF","로지스틱")))</f>
        <v>입력 대기</v>
      </c>
    </row>
    <row r="9" spans="1:5">
      <c r="A9" s="60" t="s">
        <v>82</v>
      </c>
    </row>
    <row r="10" spans="1:5">
      <c r="A10" s="60" t="s">
        <v>83</v>
      </c>
    </row>
    <row r="11" spans="1:5">
      <c r="A11" s="60" t="s">
        <v>84</v>
      </c>
    </row>
    <row r="12" spans="1:5">
      <c r="A12" s="61" t="s">
        <v>85</v>
      </c>
    </row>
  </sheetData>
  <mergeCells count="2">
    <mergeCell ref="A1:E1"/>
    <mergeCell ref="A2:E2"/>
  </mergeCells>
  <phoneticPr fontId="3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zoomScaleNormal="100" workbookViewId="0"/>
  </sheetViews>
  <sheetFormatPr defaultColWidth="8.7109375" defaultRowHeight="15"/>
  <cols>
    <col min="1" max="1" width="20" customWidth="1"/>
    <col min="2" max="3" width="14" customWidth="1"/>
    <col min="4" max="4" width="36" customWidth="1"/>
    <col min="5" max="5" width="28" customWidth="1"/>
  </cols>
  <sheetData>
    <row r="1" spans="1:5" ht="30" customHeight="1">
      <c r="A1" s="3" t="s">
        <v>86</v>
      </c>
      <c r="B1" s="3"/>
      <c r="C1" s="3"/>
      <c r="D1" s="3"/>
      <c r="E1" s="3"/>
    </row>
    <row r="2" spans="1:5" ht="15" customHeight="1">
      <c r="A2" s="2" t="s">
        <v>87</v>
      </c>
      <c r="B2" s="2"/>
      <c r="C2" s="2"/>
      <c r="D2" s="2"/>
      <c r="E2" s="2"/>
    </row>
    <row r="3" spans="1:5" ht="24" customHeight="1">
      <c r="A3" s="30" t="s">
        <v>88</v>
      </c>
      <c r="B3" s="11" t="s">
        <v>89</v>
      </c>
      <c r="C3" s="15" t="s">
        <v>90</v>
      </c>
      <c r="D3" s="13" t="s">
        <v>91</v>
      </c>
      <c r="E3" s="14" t="s">
        <v>92</v>
      </c>
    </row>
    <row r="4" spans="1:5" ht="30" customHeight="1">
      <c r="A4" s="62" t="s">
        <v>4</v>
      </c>
      <c r="B4" s="63"/>
      <c r="C4" s="64" t="str">
        <f t="shared" ref="C4:C10" si="0">IF(B4="","입력 필요",EXP(B4))</f>
        <v>입력 필요</v>
      </c>
      <c r="D4" s="65" t="s">
        <v>93</v>
      </c>
      <c r="E4" s="66" t="s">
        <v>94</v>
      </c>
    </row>
    <row r="5" spans="1:5" ht="30" customHeight="1">
      <c r="A5" s="67" t="s">
        <v>3</v>
      </c>
      <c r="B5" s="63"/>
      <c r="C5" s="64" t="str">
        <f t="shared" si="0"/>
        <v>입력 필요</v>
      </c>
      <c r="D5" s="68" t="s">
        <v>95</v>
      </c>
      <c r="E5" s="66" t="s">
        <v>96</v>
      </c>
    </row>
    <row r="6" spans="1:5" ht="30" customHeight="1">
      <c r="A6" s="62" t="s">
        <v>2</v>
      </c>
      <c r="B6" s="63"/>
      <c r="C6" s="64" t="str">
        <f t="shared" si="0"/>
        <v>입력 필요</v>
      </c>
      <c r="D6" s="65" t="s">
        <v>97</v>
      </c>
      <c r="E6" s="66" t="s">
        <v>98</v>
      </c>
    </row>
    <row r="7" spans="1:5" ht="30" customHeight="1">
      <c r="A7" s="62" t="s">
        <v>5</v>
      </c>
      <c r="B7" s="63"/>
      <c r="C7" s="64" t="str">
        <f t="shared" si="0"/>
        <v>입력 필요</v>
      </c>
      <c r="D7" s="69" t="s">
        <v>99</v>
      </c>
      <c r="E7" s="66" t="s">
        <v>100</v>
      </c>
    </row>
    <row r="8" spans="1:5" ht="30" customHeight="1">
      <c r="A8" s="62" t="s">
        <v>6</v>
      </c>
      <c r="B8" s="63"/>
      <c r="C8" s="64" t="str">
        <f t="shared" si="0"/>
        <v>입력 필요</v>
      </c>
      <c r="D8" s="65" t="s">
        <v>101</v>
      </c>
      <c r="E8" s="66" t="s">
        <v>102</v>
      </c>
    </row>
    <row r="9" spans="1:5" ht="30" customHeight="1">
      <c r="A9" s="62" t="s">
        <v>7</v>
      </c>
      <c r="B9" s="63"/>
      <c r="C9" s="64" t="str">
        <f t="shared" si="0"/>
        <v>입력 필요</v>
      </c>
      <c r="D9" s="69" t="s">
        <v>103</v>
      </c>
      <c r="E9" s="66" t="s">
        <v>104</v>
      </c>
    </row>
    <row r="10" spans="1:5" ht="30" customHeight="1">
      <c r="A10" s="62" t="s">
        <v>8</v>
      </c>
      <c r="B10" s="63"/>
      <c r="C10" s="64" t="str">
        <f t="shared" si="0"/>
        <v>입력 필요</v>
      </c>
      <c r="D10" s="65" t="s">
        <v>105</v>
      </c>
      <c r="E10" s="66" t="s">
        <v>106</v>
      </c>
    </row>
    <row r="12" spans="1:5" ht="21.75" customHeight="1">
      <c r="A12" s="1" t="s">
        <v>107</v>
      </c>
      <c r="B12" s="1"/>
      <c r="C12" s="1"/>
      <c r="D12" s="1"/>
      <c r="E12" s="1"/>
    </row>
  </sheetData>
  <mergeCells count="3">
    <mergeCell ref="A1:E1"/>
    <mergeCell ref="A2:E2"/>
    <mergeCell ref="A12:E12"/>
  </mergeCells>
  <phoneticPr fontId="37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diabetes</vt:lpstr>
      <vt:lpstr>실습_가이드</vt:lpstr>
      <vt:lpstr>임계값_실험결과</vt:lpstr>
      <vt:lpstr>3모델_성능비교</vt:lpstr>
      <vt:lpstr>오즈비_참고표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장진수</cp:lastModifiedBy>
  <cp:revision>0</cp:revision>
  <dcterms:created xsi:type="dcterms:W3CDTF">2026-03-27T06:30:46Z</dcterms:created>
  <dcterms:modified xsi:type="dcterms:W3CDTF">2026-04-03T05:00:53Z</dcterms:modified>
  <dc:language>en-US</dc:language>
</cp:coreProperties>
</file>